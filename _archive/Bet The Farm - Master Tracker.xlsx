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et Log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<sst xmlns="http://schemas.openxmlformats.org/spreadsheetml/2006/main" count="93" uniqueCount="78">
  <si>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 xml:space="preserve">BET THE FARM  —  PERFORMANCE DASHBOARD</t>
  </si>
  <si>
    <t xml:space="preserve">TOTAL BETS</t>
  </si>
  <si>
    <t xml:space="preserve">WINS</t>
  </si>
  <si>
    <t xml:space="preserve">LOSSES</t>
  </si>
  <si>
    <t xml:space="preserve">WIN RATE</t>
  </si>
  <si>
    <t xml:space="preserve">ROI</t>
  </si>
  <si>
    <t xml:space="preserve">NET P&amp;L</t>
  </si>
  <si>
    <t xml:space="preserve">PERFORMANCE BY SPORT</t>
  </si>
  <si>
    <t xml:space="preserve">Sport</t>
  </si>
  <si>
    <t xml:space="preserve">Bets</t>
  </si>
  <si>
    <t xml:space="preserve">Wins</t>
  </si>
  <si>
    <t xml:space="preserve">Losses</t>
  </si>
  <si>
    <t xml:space="preserve">Win%</t>
  </si>
  <si>
    <t xml:space="preserve">Wagered ($)</t>
  </si>
  <si>
    <t xml:space="preserve">Net P&amp;L ($)</t>
  </si>
  <si>
    <t xml:space="preserve">College Basketball</t>
  </si>
  <si>
    <t xml:space="preserve">College Football</t>
  </si>
  <si>
    <t xml:space="preserve">NFL</t>
  </si>
  <si>
    <t xml:space="preserve">NBA</t>
  </si>
  <si>
    <t xml:space="preserve">MLB</t>
  </si>
  <si>
    <t xml:space="preserve">NHL</t>
  </si>
  <si>
    <t xml:space="preserve">PERFORMANCE BY BET TYPE</t>
  </si>
  <si>
    <t xml:space="preserve">Bet Type</t>
  </si>
  <si>
    <t xml:space="preserve">Spread</t>
  </si>
  <si>
    <t xml:space="preserve">Moneyline</t>
  </si>
  <si>
    <t xml:space="preserve">Total (Over)</t>
  </si>
  <si>
    <t xml:space="preserve">Total (Under)</t>
  </si>
  <si>
    <t xml:space="preserve">Parlay</t>
  </si>
  <si>
    <t xml:space="preserve">Prop</t>
  </si>
  <si>
    <t xml:space="preserve">Futures</t>
  </si>
  <si>
    <t xml:space="preserve">BET THE FARM  —  MASTER BET TRACKER</t>
  </si>
  <si>
    <t xml:space="preserve">Starting Bankroll  →</t>
  </si>
  <si>
    <t xml:space="preserve">← Set your starting bankroll here (blue = editable)</t>
  </si>
  <si>
    <t xml:space="preserve">Date</t>
  </si>
  <si>
    <t xml:space="preserve">Matchup</t>
  </si>
  <si>
    <t xml:space="preserve">Pick / Side</t>
  </si>
  <si>
    <t xml:space="preserve">Line</t>
  </si>
  <si>
    <t xml:space="preserve">Odds</t>
  </si>
  <si>
    <t xml:space="preserve">Stake ($)</t>
  </si>
  <si>
    <t xml:space="preserve">Result</t>
  </si>
  <si>
    <t xml:space="preserve">Balance ($)</t>
  </si>
  <si>
    <t xml:space="preserve">Sportsbook</t>
  </si>
  <si>
    <t xml:space="preserve">Notes</t>
  </si>
  <si>
    <t xml:space="preserve">HOW TO USE  —  BET THE FARM TRACKER</t>
  </si>
  <si>
    <t xml:space="preserve">GETTING STARTED</t>
  </si>
  <si>
    <t xml:space="preserve">Step 1 — Set Your Bankroll</t>
  </si>
  <si>
    <t xml:space="preserve">Go to the Bet Log sheet. In cell K2 (the blue cell), enter your group's starting bankroll. Default is $1,000. This anchors all running balance calculations.</t>
  </si>
  <si>
    <t xml:space="preserve">Step 2 — Log Every Bet</t>
  </si>
  <si>
    <t xml:space="preserve">Fill in one row per bet:
• Date — when you placed the bet
• Sport — dropdown (CBB, CFB, NFL, NBA, MLB, NHL)
• Matchup — e.g. 'Kansas @ Duke'
• Bet Type — dropdown (Spread, ML, Total, Parlay, Prop, etc.)
• Pick / Side — what you bet, e.g. 'Kansas -3.5'
• Line — the spread or total number (e.g. -3.5 or 48.5)
• Odds — American odds (e.g. -110 or +150)
• Stake — dollar amount wagered
• Result — Win / Loss / Push / Pending
• Sportsbook — where you placed the bet</t>
  </si>
  <si>
    <t xml:space="preserve">Step 3 — Track Results</t>
  </si>
  <si>
    <t xml:space="preserve">Once a game is final, update the Result to Win, Loss, or Push. Net P&amp;L and Running Balance auto-calculate. Rows turn green for wins, red for losses.</t>
  </si>
  <si>
    <t xml:space="preserve">Step 4 — Check the Dashboard</t>
  </si>
  <si>
    <t xml:space="preserve">The Dashboard tab shows overall W/L/Win%/ROI/P&amp;L plus breakdowns by Sport and Bet Type. The bankroll chart updates automatically as you log results.</t>
  </si>
  <si>
    <t xml:space="preserve">UNDERSTANDING AMERICAN ODDS</t>
  </si>
  <si>
    <t xml:space="preserve">-110</t>
  </si>
  <si>
    <t xml:space="preserve">Standard vig on most spread/total bets. Bet $110 to win $100. Break-even win rate: 52.4%.</t>
  </si>
  <si>
    <t xml:space="preserve">-200</t>
  </si>
  <si>
    <t xml:space="preserve">Big favorite on moneyline. Bet $200 to win $100. Need 66.7% win rate to profit.</t>
  </si>
  <si>
    <t xml:space="preserve">+150</t>
  </si>
  <si>
    <t xml:space="preserve">Underdog on moneyline. Bet $100 to win $150. Only need 40% win rate to profit.</t>
  </si>
  <si>
    <t xml:space="preserve">TIPS FOR FINDING AN EDGE</t>
  </si>
  <si>
    <t xml:space="preserve">Shop lines</t>
  </si>
  <si>
    <t xml:space="preserve">Always compare FanDuel, DraftKings, BetMGM, and Caesars. Half a point on a spread makes a real difference over a season.</t>
  </si>
  <si>
    <t xml:space="preserve">Track closing line value</t>
  </si>
  <si>
    <t xml:space="preserve">If you consistently beat the line at close, you're a sharp bettor. It's the best long-term skill indicator.</t>
  </si>
  <si>
    <t xml:space="preserve">Focus on pace, adjusted efficiency (kenpom.com), home/away splits, and conference familiarity. Fade public teams in neutral-site games.</t>
  </si>
  <si>
    <t xml:space="preserve">Situational spots: look-ahead games, revenge games, weather, travel distance, and teams playing their 3rd road game in 4 weeks.</t>
  </si>
  <si>
    <t xml:space="preserve">Prime-time inflated lines, divisional game overs/unders, injury reports (especially QB, OL), and rest advantages.</t>
  </si>
  <si>
    <t xml:space="preserve">Back-to-backs, rest advantages, pace mismatches for totals, and player prop value on high-usage players.</t>
  </si>
  <si>
    <t xml:space="preserve">Starting pitcher matchup, bullpen depth, park factors, weather (wind direction/speed), and team totals on run lines.</t>
  </si>
  <si>
    <t xml:space="preserve">Goalie confirmations before betting, puck line value on heavy favorites, and road dogs in divisional games.</t>
  </si>
  <si>
    <t xml:space="preserve">BANKROLL MANAGEMENT</t>
  </si>
  <si>
    <t xml:space="preserve">Unit sizing</t>
  </si>
  <si>
    <t xml:space="preserve">Bet 1–3% of bankroll per game. A 'unit' is typically 1% of your starting bankroll.</t>
  </si>
  <si>
    <t xml:space="preserve">Never chase losses</t>
  </si>
  <si>
    <t xml:space="preserve">Stick to your unit size even after a bad run. Variance is real — protect the bankroll.</t>
  </si>
  <si>
    <t xml:space="preserve">Parlays</t>
  </si>
  <si>
    <t xml:space="preserve">Fun but high-vig. Keep parlay exposure to &lt;10% of bets. Single-game +EV bets build bankroll more reliably.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</si>
</sst>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\$#,##0.00_);&quot;($&quot;#,##0.00\)"/>
    <numFmt numFmtId="168" formatCode="@"/>
    <numFmt numFmtId="169" formatCode="\$#,##0.00"/>
    <numFmt numFmtId="170" formatCode="\$#,##0"/>
    <numFmt numFmtId="171" formatCode="mm/dd/yyyy"/>
    <numFmt numFmtId="172" formatCode="\$#,##0.00_);&quot;($&quot;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777777"/>
      <name val="Arial"/>
      <family val="0"/>
      <charset val="1"/>
    </font>
    <font>
      <b val="true"/>
      <sz val="22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2137"/>
        <bgColor rgb="FF1A3A5C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2C5282"/>
        <bgColor rgb="FF1A3A5C"/>
      </patternFill>
    </fill>
    <fill>
      <patternFill patternType="solid">
        <fgColor rgb="FFEBF2FA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5F5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5F5F5"/>
      <rgbColor rgb="FFEB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777777"/>
      <rgbColor rgb="FFC9A84C"/>
      <rgbColor rgb="FF1A3A5C"/>
      <rgbColor rgb="FF339966"/>
      <rgbColor rgb="FF0D2137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1a3a5c"/>
            </a:solidFill>
            <a:ln w="21960">
              <a:solidFill>
                <a:srgbClr val="1a3a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'Bet Log'!$K$2:$K$203</c:f>
              <c:numCache>
                <c:formatCode>\$#,##0.00</c:formatCode>
                <c:ptCount val="202"/>
                <c:pt idx="0">
                  <c:v>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95108"/>
        <c:axId val="35234775"/>
      </c:lineChart>
      <c:catAx>
        <c:axId val="18995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Bet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34775"/>
        <c:crosses val="autoZero"/>
        <c:auto val="1"/>
        <c:lblAlgn val="ctr"/>
        <c:lblOffset val="100"/>
        <c:noMultiLvlLbl val="0"/>
      </c:catAx>
      <c:valAx>
        <c:axId val="35234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9951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0</xdr:rowOff>
    </xdr:from>
    <xdr:to>
      <xdr:col>22</xdr:col>
      <xdr:colOff>153000</xdr:colOff>
      <xdr:row>25</xdr:row>
      <xdr:rowOff>181800</xdr:rowOff>
    </xdr:to>
    <xdr:graphicFrame>
      <xdr:nvGraphicFramePr>
        <xdr:cNvPr id="0" name="Chart 1"/>
        <xdr:cNvGraphicFramePr/>
      </xdr:nvGraphicFramePr>
      <xdr:xfrm>
        <a:off x="6837120" y="19144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0"/>
    <col collapsed="false" customWidth="true" hidden="false" outlineLevel="0" max="8" min="7" style="0" width="14"/>
    <col collapsed="false" customWidth="true" hidden="false" outlineLevel="0" max="10" min="9" style="0" width="3"/>
    <col collapsed="false" customWidth="true" hidden="false" outlineLevel="0" max="14" min="11" style="0" width="1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/>
    <row r="4" customFormat="false" ht="19.5" hidden="false" customHeight="tru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 t="s">
        <v>5</v>
      </c>
      <c r="K4" s="3"/>
      <c r="L4" s="3" t="s">
        <v>6</v>
      </c>
      <c r="M4" s="3"/>
    </row>
    <row r="5" customFormat="false" ht="49.5" hidden="false" customHeight="true" outlineLevel="0" collapsed="false">
      <c r="B5" s="4" t="n">
        <f aca="false">COUNTA('Bet Log'!I4:I203)-COUNTIF('Bet Log'!I4:I203,"Pending")-COUNTIF('Bet Log'!I4:I203,"")</f>
        <v>-200</v>
      </c>
      <c r="C5" s="4"/>
      <c r="D5" s="4" t="n">
        <f aca="false">COUNTIF('Bet Log'!I4:I203,"Win")</f>
        <v>0</v>
      </c>
      <c r="E5" s="4"/>
      <c r="F5" s="4" t="n">
        <f aca="false">COUNTIF('Bet Log'!I4:I203,"Loss")</f>
        <v>0</v>
      </c>
      <c r="G5" s="4"/>
      <c r="H5" s="5" t="n">
        <f aca="false">IFERROR(COUNTIF('Bet Log'!I4:I203,"Win")/(COUNTIF('Bet Log'!I4:I203,"Win")+COUNTIF('Bet Log'!I4:I203,"Loss")),0)</f>
        <v>0</v>
      </c>
      <c r="I5" s="5"/>
      <c r="J5" s="5" t="n">
        <f aca="false">IFERROR(SUMIF('Bet Log'!I4:I203,"&lt;&gt;Pending",'Bet Log'!J4:J203)/SUMIF('Bet Log'!I4:I203,"&lt;&gt;Pending",'Bet Log'!H4:H203),0)</f>
        <v>0</v>
      </c>
      <c r="K5" s="5"/>
      <c r="L5" s="6" t="n">
        <f aca="false">IFERROR(SUMIF('Bet Log'!I4:I203,"&lt;&gt;Pending",'Bet Log'!J4:J203),0)</f>
        <v>0</v>
      </c>
      <c r="M5" s="6"/>
    </row>
    <row r="6" customFormat="false" ht="9.75" hidden="false" customHeight="true" outlineLevel="0" collapsed="false"/>
    <row r="8" customFormat="false" ht="27.75" hidden="false" customHeight="true" outlineLevel="0" collapsed="false">
      <c r="B8" s="7" t="s">
        <v>7</v>
      </c>
      <c r="C8" s="7"/>
      <c r="D8" s="7"/>
      <c r="E8" s="7"/>
      <c r="F8" s="7"/>
      <c r="G8" s="7"/>
      <c r="H8" s="7"/>
    </row>
    <row r="9" customFormat="false" ht="21.75" hidden="false" customHeight="true" outlineLevel="0" collapsed="false"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</row>
    <row r="10" customFormat="false" ht="19.5" hidden="false" customHeight="true" outlineLevel="0" collapsed="false">
      <c r="B10" s="9" t="s">
        <v>15</v>
      </c>
      <c r="C10" s="10" t="n">
        <f aca="false">COUNTIFS('Bet Log'!B4:B203,"College Basketball",'Bet Log'!I4:I203,"&lt;&gt;",'Bet Log'!I4:I203,"&lt;&gt;Pending")</f>
        <v>0</v>
      </c>
      <c r="D10" s="10" t="n">
        <f aca="false">COUNTIFS('Bet Log'!B4:B203,"College Basketball",'Bet Log'!I4:I203,"Win")</f>
        <v>0</v>
      </c>
      <c r="E10" s="10" t="n">
        <f aca="false">COUNTIFS('Bet Log'!B4:B203,"College Basketball",'Bet Log'!I4:I203,"Loss")</f>
        <v>0</v>
      </c>
      <c r="F10" s="11" t="str">
        <f aca="false">IFERROR(COUNTIFS('Bet Log'!B4:B203,"College Basketball",'Bet Log'!I4:I203,"Win")/(COUNTIFS('Bet Log'!B4:B203,"College Basketball",'Bet Log'!I4:I203,"Win")+COUNTIFS('Bet Log'!B4:B203,"College Basketball",'Bet Log'!I4:I203,"Loss")),"-")</f>
        <v>-</v>
      </c>
      <c r="G10" s="12" t="n">
        <f aca="false">SUMIFS('Bet Log'!H4:H203,'Bet Log'!B4:B203,"College Basketball",'Bet Log'!I4:I203,"&lt;&gt;Pending")</f>
        <v>0</v>
      </c>
      <c r="H10" s="13" t="n">
        <f aca="false">SUMIFS('Bet Log'!J4:J203,'Bet Log'!B4:B203,"College Basketball",'Bet Log'!I4:I203,"&lt;&gt;Pending")</f>
        <v>0</v>
      </c>
    </row>
    <row r="11" customFormat="false" ht="19.5" hidden="false" customHeight="true" outlineLevel="0" collapsed="false">
      <c r="B11" s="14" t="s">
        <v>16</v>
      </c>
      <c r="C11" s="15" t="n">
        <f aca="false">COUNTIFS('Bet Log'!B4:B203,"College Football",'Bet Log'!I4:I203,"&lt;&gt;",'Bet Log'!I4:I203,"&lt;&gt;Pending")</f>
        <v>0</v>
      </c>
      <c r="D11" s="15" t="n">
        <f aca="false">COUNTIFS('Bet Log'!B4:B203,"College Football",'Bet Log'!I4:I203,"Win")</f>
        <v>0</v>
      </c>
      <c r="E11" s="15" t="n">
        <f aca="false">COUNTIFS('Bet Log'!B4:B203,"College Football",'Bet Log'!I4:I203,"Loss")</f>
        <v>0</v>
      </c>
      <c r="F11" s="16" t="str">
        <f aca="false">IFERROR(COUNTIFS('Bet Log'!B4:B203,"College Football",'Bet Log'!I4:I203,"Win")/(COUNTIFS('Bet Log'!B4:B203,"College Football",'Bet Log'!I4:I203,"Win")+COUNTIFS('Bet Log'!B4:B203,"College Football",'Bet Log'!I4:I203,"Loss")),"-")</f>
        <v>-</v>
      </c>
      <c r="G11" s="17" t="n">
        <f aca="false">SUMIFS('Bet Log'!H4:H203,'Bet Log'!B4:B203,"College Football",'Bet Log'!I4:I203,"&lt;&gt;Pending")</f>
        <v>0</v>
      </c>
      <c r="H11" s="18" t="n">
        <f aca="false">SUMIFS('Bet Log'!J4:J203,'Bet Log'!B4:B203,"College Football",'Bet Log'!I4:I203,"&lt;&gt;Pending")</f>
        <v>0</v>
      </c>
    </row>
    <row r="12" customFormat="false" ht="19.5" hidden="false" customHeight="true" outlineLevel="0" collapsed="false">
      <c r="B12" s="9" t="s">
        <v>17</v>
      </c>
      <c r="C12" s="10" t="n">
        <f aca="false">COUNTIFS('Bet Log'!B4:B203,"NFL",'Bet Log'!I4:I203,"&lt;&gt;",'Bet Log'!I4:I203,"&lt;&gt;Pending")</f>
        <v>0</v>
      </c>
      <c r="D12" s="10" t="n">
        <f aca="false">COUNTIFS('Bet Log'!B4:B203,"NFL",'Bet Log'!I4:I203,"Win")</f>
        <v>0</v>
      </c>
      <c r="E12" s="10" t="n">
        <f aca="false">COUNTIFS('Bet Log'!B4:B203,"NFL",'Bet Log'!I4:I203,"Loss")</f>
        <v>0</v>
      </c>
      <c r="F12" s="11" t="str">
        <f aca="false">IFERROR(COUNTIFS('Bet Log'!B4:B203,"NFL",'Bet Log'!I4:I203,"Win")/(COUNTIFS('Bet Log'!B4:B203,"NFL",'Bet Log'!I4:I203,"Win")+COUNTIFS('Bet Log'!B4:B203,"NFL",'Bet Log'!I4:I203,"Loss")),"-")</f>
        <v>-</v>
      </c>
      <c r="G12" s="12" t="n">
        <f aca="false">SUMIFS('Bet Log'!H4:H203,'Bet Log'!B4:B203,"NFL",'Bet Log'!I4:I203,"&lt;&gt;Pending")</f>
        <v>0</v>
      </c>
      <c r="H12" s="13" t="n">
        <f aca="false">SUMIFS('Bet Log'!J4:J203,'Bet Log'!B4:B203,"NFL",'Bet Log'!I4:I203,"&lt;&gt;Pending")</f>
        <v>0</v>
      </c>
    </row>
    <row r="13" customFormat="false" ht="19.5" hidden="false" customHeight="true" outlineLevel="0" collapsed="false">
      <c r="B13" s="14" t="s">
        <v>18</v>
      </c>
      <c r="C13" s="15" t="n">
        <f aca="false">COUNTIFS('Bet Log'!B4:B203,"NBA",'Bet Log'!I4:I203,"&lt;&gt;",'Bet Log'!I4:I203,"&lt;&gt;Pending")</f>
        <v>0</v>
      </c>
      <c r="D13" s="15" t="n">
        <f aca="false">COUNTIFS('Bet Log'!B4:B203,"NBA",'Bet Log'!I4:I203,"Win")</f>
        <v>0</v>
      </c>
      <c r="E13" s="15" t="n">
        <f aca="false">COUNTIFS('Bet Log'!B4:B203,"NBA",'Bet Log'!I4:I203,"Loss")</f>
        <v>0</v>
      </c>
      <c r="F13" s="16" t="str">
        <f aca="false">IFERROR(COUNTIFS('Bet Log'!B4:B203,"NBA",'Bet Log'!I4:I203,"Win")/(COUNTIFS('Bet Log'!B4:B203,"NBA",'Bet Log'!I4:I203,"Win")+COUNTIFS('Bet Log'!B4:B203,"NBA",'Bet Log'!I4:I203,"Loss")),"-")</f>
        <v>-</v>
      </c>
      <c r="G13" s="17" t="n">
        <f aca="false">SUMIFS('Bet Log'!H4:H203,'Bet Log'!B4:B203,"NBA",'Bet Log'!I4:I203,"&lt;&gt;Pending")</f>
        <v>0</v>
      </c>
      <c r="H13" s="18" t="n">
        <f aca="false">SUMIFS('Bet Log'!J4:J203,'Bet Log'!B4:B203,"NBA",'Bet Log'!I4:I203,"&lt;&gt;Pending")</f>
        <v>0</v>
      </c>
    </row>
    <row r="14" customFormat="false" ht="19.5" hidden="false" customHeight="true" outlineLevel="0" collapsed="false">
      <c r="B14" s="9" t="s">
        <v>19</v>
      </c>
      <c r="C14" s="10" t="n">
        <f aca="false">COUNTIFS('Bet Log'!B4:B203,"MLB",'Bet Log'!I4:I203,"&lt;&gt;",'Bet Log'!I4:I203,"&lt;&gt;Pending")</f>
        <v>0</v>
      </c>
      <c r="D14" s="10" t="n">
        <f aca="false">COUNTIFS('Bet Log'!B4:B203,"MLB",'Bet Log'!I4:I203,"Win")</f>
        <v>0</v>
      </c>
      <c r="E14" s="10" t="n">
        <f aca="false">COUNTIFS('Bet Log'!B4:B203,"MLB",'Bet Log'!I4:I203,"Loss")</f>
        <v>0</v>
      </c>
      <c r="F14" s="11" t="str">
        <f aca="false">IFERROR(COUNTIFS('Bet Log'!B4:B203,"MLB",'Bet Log'!I4:I203,"Win")/(COUNTIFS('Bet Log'!B4:B203,"MLB",'Bet Log'!I4:I203,"Win")+COUNTIFS('Bet Log'!B4:B203,"MLB",'Bet Log'!I4:I203,"Loss")),"-")</f>
        <v>-</v>
      </c>
      <c r="G14" s="12" t="n">
        <f aca="false">SUMIFS('Bet Log'!H4:H203,'Bet Log'!B4:B203,"MLB",'Bet Log'!I4:I203,"&lt;&gt;Pending")</f>
        <v>0</v>
      </c>
      <c r="H14" s="13" t="n">
        <f aca="false">SUMIFS('Bet Log'!J4:J203,'Bet Log'!B4:B203,"MLB",'Bet Log'!I4:I203,"&lt;&gt;Pending")</f>
        <v>0</v>
      </c>
    </row>
    <row r="15" customFormat="false" ht="19.5" hidden="false" customHeight="true" outlineLevel="0" collapsed="false">
      <c r="B15" s="14" t="s">
        <v>20</v>
      </c>
      <c r="C15" s="15" t="n">
        <f aca="false">COUNTIFS('Bet Log'!B4:B203,"NHL",'Bet Log'!I4:I203,"&lt;&gt;",'Bet Log'!I4:I203,"&lt;&gt;Pending")</f>
        <v>0</v>
      </c>
      <c r="D15" s="15" t="n">
        <f aca="false">COUNTIFS('Bet Log'!B4:B203,"NHL",'Bet Log'!I4:I203,"Win")</f>
        <v>0</v>
      </c>
      <c r="E15" s="15" t="n">
        <f aca="false">COUNTIFS('Bet Log'!B4:B203,"NHL",'Bet Log'!I4:I203,"Loss")</f>
        <v>0</v>
      </c>
      <c r="F15" s="16" t="str">
        <f aca="false">IFERROR(COUNTIFS('Bet Log'!B4:B203,"NHL",'Bet Log'!I4:I203,"Win")/(COUNTIFS('Bet Log'!B4:B203,"NHL",'Bet Log'!I4:I203,"Win")+COUNTIFS('Bet Log'!B4:B203,"NHL",'Bet Log'!I4:I203,"Loss")),"-")</f>
        <v>-</v>
      </c>
      <c r="G15" s="17" t="n">
        <f aca="false">SUMIFS('Bet Log'!H4:H203,'Bet Log'!B4:B203,"NHL",'Bet Log'!I4:I203,"&lt;&gt;Pending")</f>
        <v>0</v>
      </c>
      <c r="H15" s="18" t="n">
        <f aca="false">SUMIFS('Bet Log'!J4:J203,'Bet Log'!B4:B203,"NHL",'Bet Log'!I4:I203,"&lt;&gt;Pending")</f>
        <v>0</v>
      </c>
    </row>
    <row r="17" customFormat="false" ht="27.75" hidden="false" customHeight="true" outlineLevel="0" collapsed="false">
      <c r="B17" s="7" t="s">
        <v>21</v>
      </c>
      <c r="C17" s="7"/>
      <c r="D17" s="7"/>
      <c r="E17" s="7"/>
      <c r="F17" s="7"/>
      <c r="G17" s="7"/>
      <c r="H17" s="7"/>
    </row>
    <row r="18" customFormat="false" ht="21.75" hidden="false" customHeight="true" outlineLevel="0" collapsed="false">
      <c r="B18" s="8" t="s">
        <v>22</v>
      </c>
      <c r="C18" s="8" t="s">
        <v>9</v>
      </c>
      <c r="D18" s="8" t="s">
        <v>10</v>
      </c>
      <c r="E18" s="8" t="s">
        <v>11</v>
      </c>
      <c r="F18" s="8" t="s">
        <v>12</v>
      </c>
      <c r="G18" s="8" t="s">
        <v>13</v>
      </c>
      <c r="H18" s="8" t="s">
        <v>14</v>
      </c>
    </row>
    <row r="19" customFormat="false" ht="19.5" hidden="false" customHeight="true" outlineLevel="0" collapsed="false">
      <c r="B19" s="9" t="s">
        <v>23</v>
      </c>
      <c r="C19" s="10" t="n">
        <f aca="false">COUNTIFS('Bet Log'!D4:D203,"Spread",'Bet Log'!I4:I203,"&lt;&gt;",'Bet Log'!I4:I203,"&lt;&gt;Pending")</f>
        <v>0</v>
      </c>
      <c r="D19" s="10" t="n">
        <f aca="false">COUNTIFS('Bet Log'!D4:D203,"Spread",'Bet Log'!I4:I203,"Win")</f>
        <v>0</v>
      </c>
      <c r="E19" s="10" t="n">
        <f aca="false">COUNTIFS('Bet Log'!D4:D203,"Spread",'Bet Log'!I4:I203,"Loss")</f>
        <v>0</v>
      </c>
      <c r="F19" s="11" t="str">
        <f aca="false">IFERROR(COUNTIFS('Bet Log'!D4:D203,"Spread",'Bet Log'!I4:I203,"Win")/(COUNTIFS('Bet Log'!D4:D203,"Spread",'Bet Log'!I4:I203,"Win")+COUNTIFS('Bet Log'!D4:D203,"Spread",'Bet Log'!I4:I203,"Loss")),"-")</f>
        <v>-</v>
      </c>
      <c r="G19" s="12" t="n">
        <f aca="false">SUMIFS('Bet Log'!H4:H203,'Bet Log'!D4:D203,"Spread",'Bet Log'!I4:I203,"&lt;&gt;Pending")</f>
        <v>0</v>
      </c>
      <c r="H19" s="13" t="n">
        <f aca="false">SUMIFS('Bet Log'!J4:J203,'Bet Log'!D4:D203,"Spread",'Bet Log'!I4:I203,"&lt;&gt;Pending")</f>
        <v>0</v>
      </c>
    </row>
    <row r="20" customFormat="false" ht="19.5" hidden="false" customHeight="true" outlineLevel="0" collapsed="false">
      <c r="B20" s="14" t="s">
        <v>24</v>
      </c>
      <c r="C20" s="15" t="n">
        <f aca="false">COUNTIFS('Bet Log'!D4:D203,"Moneyline",'Bet Log'!I4:I203,"&lt;&gt;",'Bet Log'!I4:I203,"&lt;&gt;Pending")</f>
        <v>0</v>
      </c>
      <c r="D20" s="15" t="n">
        <f aca="false">COUNTIFS('Bet Log'!D4:D203,"Moneyline",'Bet Log'!I4:I203,"Win")</f>
        <v>0</v>
      </c>
      <c r="E20" s="15" t="n">
        <f aca="false">COUNTIFS('Bet Log'!D4:D203,"Moneyline",'Bet Log'!I4:I203,"Loss")</f>
        <v>0</v>
      </c>
      <c r="F20" s="16" t="str">
        <f aca="false">IFERROR(COUNTIFS('Bet Log'!D4:D203,"Moneyline",'Bet Log'!I4:I203,"Win")/(COUNTIFS('Bet Log'!D4:D203,"Moneyline",'Bet Log'!I4:I203,"Win")+COUNTIFS('Bet Log'!D4:D203,"Moneyline",'Bet Log'!I4:I203,"Loss")),"-")</f>
        <v>-</v>
      </c>
      <c r="G20" s="17" t="n">
        <f aca="false">SUMIFS('Bet Log'!H4:H203,'Bet Log'!D4:D203,"Moneyline",'Bet Log'!I4:I203,"&lt;&gt;Pending")</f>
        <v>0</v>
      </c>
      <c r="H20" s="18" t="n">
        <f aca="false">SUMIFS('Bet Log'!J4:J203,'Bet Log'!D4:D203,"Moneyline",'Bet Log'!I4:I203,"&lt;&gt;Pending")</f>
        <v>0</v>
      </c>
    </row>
    <row r="21" customFormat="false" ht="19.5" hidden="false" customHeight="true" outlineLevel="0" collapsed="false">
      <c r="B21" s="9" t="s">
        <v>25</v>
      </c>
      <c r="C21" s="10" t="n">
        <f aca="false">COUNTIFS('Bet Log'!D4:D203,"Total (Over)",'Bet Log'!I4:I203,"&lt;&gt;",'Bet Log'!I4:I203,"&lt;&gt;Pending")</f>
        <v>0</v>
      </c>
      <c r="D21" s="10" t="n">
        <f aca="false">COUNTIFS('Bet Log'!D4:D203,"Total (Over)",'Bet Log'!I4:I203,"Win")</f>
        <v>0</v>
      </c>
      <c r="E21" s="10" t="n">
        <f aca="false">COUNTIFS('Bet Log'!D4:D203,"Total (Over)",'Bet Log'!I4:I203,"Loss")</f>
        <v>0</v>
      </c>
      <c r="F21" s="11" t="str">
        <f aca="false">IFERROR(COUNTIFS('Bet Log'!D4:D203,"Total (Over)",'Bet Log'!I4:I203,"Win")/(COUNTIFS('Bet Log'!D4:D203,"Total (Over)",'Bet Log'!I4:I203,"Win")+COUNTIFS('Bet Log'!D4:D203,"Total (Over)",'Bet Log'!I4:I203,"Loss")),"-")</f>
        <v>-</v>
      </c>
      <c r="G21" s="12" t="n">
        <f aca="false">SUMIFS('Bet Log'!H4:H203,'Bet Log'!D4:D203,"Total (Over)",'Bet Log'!I4:I203,"&lt;&gt;Pending")</f>
        <v>0</v>
      </c>
      <c r="H21" s="13" t="n">
        <f aca="false">SUMIFS('Bet Log'!J4:J203,'Bet Log'!D4:D203,"Total (Over)",'Bet Log'!I4:I203,"&lt;&gt;Pending")</f>
        <v>0</v>
      </c>
    </row>
    <row r="22" customFormat="false" ht="19.5" hidden="false" customHeight="true" outlineLevel="0" collapsed="false">
      <c r="B22" s="14" t="s">
        <v>26</v>
      </c>
      <c r="C22" s="15" t="n">
        <f aca="false">COUNTIFS('Bet Log'!D4:D203,"Total (Under)",'Bet Log'!I4:I203,"&lt;&gt;",'Bet Log'!I4:I203,"&lt;&gt;Pending")</f>
        <v>0</v>
      </c>
      <c r="D22" s="15" t="n">
        <f aca="false">COUNTIFS('Bet Log'!D4:D203,"Total (Under)",'Bet Log'!I4:I203,"Win")</f>
        <v>0</v>
      </c>
      <c r="E22" s="15" t="n">
        <f aca="false">COUNTIFS('Bet Log'!D4:D203,"Total (Under)",'Bet Log'!I4:I203,"Loss")</f>
        <v>0</v>
      </c>
      <c r="F22" s="16" t="str">
        <f aca="false">IFERROR(COUNTIFS('Bet Log'!D4:D203,"Total (Under)",'Bet Log'!I4:I203,"Win")/(COUNTIFS('Bet Log'!D4:D203,"Total (Under)",'Bet Log'!I4:I203,"Win")+COUNTIFS('Bet Log'!D4:D203,"Total (Under)",'Bet Log'!I4:I203,"Loss")),"-")</f>
        <v>-</v>
      </c>
      <c r="G22" s="17" t="n">
        <f aca="false">SUMIFS('Bet Log'!H4:H203,'Bet Log'!D4:D203,"Total (Under)",'Bet Log'!I4:I203,"&lt;&gt;Pending")</f>
        <v>0</v>
      </c>
      <c r="H22" s="18" t="n">
        <f aca="false">SUMIFS('Bet Log'!J4:J203,'Bet Log'!D4:D203,"Total (Under)",'Bet Log'!I4:I203,"&lt;&gt;Pending")</f>
        <v>0</v>
      </c>
    </row>
    <row r="23" customFormat="false" ht="19.5" hidden="false" customHeight="true" outlineLevel="0" collapsed="false">
      <c r="B23" s="9" t="s">
        <v>27</v>
      </c>
      <c r="C23" s="10" t="n">
        <f aca="false">COUNTIFS('Bet Log'!D4:D203,"Parlay",'Bet Log'!I4:I203,"&lt;&gt;",'Bet Log'!I4:I203,"&lt;&gt;Pending")</f>
        <v>0</v>
      </c>
      <c r="D23" s="10" t="n">
        <f aca="false">COUNTIFS('Bet Log'!D4:D203,"Parlay",'Bet Log'!I4:I203,"Win")</f>
        <v>0</v>
      </c>
      <c r="E23" s="10" t="n">
        <f aca="false">COUNTIFS('Bet Log'!D4:D203,"Parlay",'Bet Log'!I4:I203,"Loss")</f>
        <v>0</v>
      </c>
      <c r="F23" s="11" t="str">
        <f aca="false">IFERROR(COUNTIFS('Bet Log'!D4:D203,"Parlay",'Bet Log'!I4:I203,"Win")/(COUNTIFS('Bet Log'!D4:D203,"Parlay",'Bet Log'!I4:I203,"Win")+COUNTIFS('Bet Log'!D4:D203,"Parlay",'Bet Log'!I4:I203,"Loss")),"-")</f>
        <v>-</v>
      </c>
      <c r="G23" s="12" t="n">
        <f aca="false">SUMIFS('Bet Log'!H4:H203,'Bet Log'!D4:D203,"Parlay",'Bet Log'!I4:I203,"&lt;&gt;Pending")</f>
        <v>0</v>
      </c>
      <c r="H23" s="13" t="n">
        <f aca="false">SUMIFS('Bet Log'!J4:J203,'Bet Log'!D4:D203,"Parlay",'Bet Log'!I4:I203,"&lt;&gt;Pending")</f>
        <v>0</v>
      </c>
    </row>
    <row r="24" customFormat="false" ht="19.5" hidden="false" customHeight="true" outlineLevel="0" collapsed="false">
      <c r="B24" s="14" t="s">
        <v>28</v>
      </c>
      <c r="C24" s="15" t="n">
        <f aca="false">COUNTIFS('Bet Log'!D4:D203,"Prop",'Bet Log'!I4:I203,"&lt;&gt;",'Bet Log'!I4:I203,"&lt;&gt;Pending")</f>
        <v>0</v>
      </c>
      <c r="D24" s="15" t="n">
        <f aca="false">COUNTIFS('Bet Log'!D4:D203,"Prop",'Bet Log'!I4:I203,"Win")</f>
        <v>0</v>
      </c>
      <c r="E24" s="15" t="n">
        <f aca="false">COUNTIFS('Bet Log'!D4:D203,"Prop",'Bet Log'!I4:I203,"Loss")</f>
        <v>0</v>
      </c>
      <c r="F24" s="16" t="str">
        <f aca="false">IFERROR(COUNTIFS('Bet Log'!D4:D203,"Prop",'Bet Log'!I4:I203,"Win")/(COUNTIFS('Bet Log'!D4:D203,"Prop",'Bet Log'!I4:I203,"Win")+COUNTIFS('Bet Log'!D4:D203,"Prop",'Bet Log'!I4:I203,"Loss")),"-")</f>
        <v>-</v>
      </c>
      <c r="G24" s="17" t="n">
        <f aca="false">SUMIFS('Bet Log'!H4:H203,'Bet Log'!D4:D203,"Prop",'Bet Log'!I4:I203,"&lt;&gt;Pending")</f>
        <v>0</v>
      </c>
      <c r="H24" s="18" t="n">
        <f aca="false">SUMIFS('Bet Log'!J4:J203,'Bet Log'!D4:D203,"Prop",'Bet Log'!I4:I203,"&lt;&gt;Pending")</f>
        <v>0</v>
      </c>
    </row>
    <row r="25" customFormat="false" ht="19.5" hidden="false" customHeight="true" outlineLevel="0" collapsed="false">
      <c r="B25" s="9" t="s">
        <v>29</v>
      </c>
      <c r="C25" s="10" t="n">
        <f aca="false">COUNTIFS('Bet Log'!D4:D203,"Futures",'Bet Log'!I4:I203,"&lt;&gt;",'Bet Log'!I4:I203,"&lt;&gt;Pending")</f>
        <v>0</v>
      </c>
      <c r="D25" s="10" t="n">
        <f aca="false">COUNTIFS('Bet Log'!D4:D203,"Futures",'Bet Log'!I4:I203,"Win")</f>
        <v>0</v>
      </c>
      <c r="E25" s="10" t="n">
        <f aca="false">COUNTIFS('Bet Log'!D4:D203,"Futures",'Bet Log'!I4:I203,"Loss")</f>
        <v>0</v>
      </c>
      <c r="F25" s="11" t="str">
        <f aca="false">IFERROR(COUNTIFS('Bet Log'!D4:D203,"Futures",'Bet Log'!I4:I203,"Win")/(COUNTIFS('Bet Log'!D4:D203,"Futures",'Bet Log'!I4:I203,"Win")+COUNTIFS('Bet Log'!D4:D203,"Futures",'Bet Log'!I4:I203,"Loss")),"-")</f>
        <v>-</v>
      </c>
      <c r="G25" s="12" t="n">
        <f aca="false">SUMIFS('Bet Log'!H4:H203,'Bet Log'!D4:D203,"Futures",'Bet Log'!I4:I203,"&lt;&gt;Pending")</f>
        <v>0</v>
      </c>
      <c r="H25" s="13" t="n">
        <f aca="false">SUMIFS('Bet Log'!J4:J203,'Bet Log'!D4:D203,"Futures",'Bet Log'!I4:I203,"&lt;&gt;Pending")</f>
        <v>0</v>
      </c>
    </row>
  </sheetData>
  <mergeCells count="16">
    <mergeCell ref="A1:N1"/>
    <mergeCell ref="A2:N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8:H8"/>
    <mergeCell ref="B17:H17"/>
  </mergeCells>
  <conditionalFormatting sqref="H10:H15">
    <cfRule type="expression" priority="2" aboveAverage="0" equalAverage="0" bottom="0" percent="0" rank="0" text="" dxfId="0">
      <formula>H10&gt;0</formula>
    </cfRule>
    <cfRule type="expression" priority="3" aboveAverage="0" equalAverage="0" bottom="0" percent="0" rank="0" text="" dxfId="1">
      <formula>H10&lt;0</formula>
    </cfRule>
  </conditionalFormatting>
  <conditionalFormatting sqref="H19:H25">
    <cfRule type="expression" priority="4" aboveAverage="0" equalAverage="0" bottom="0" percent="0" rank="0" text="" dxfId="0">
      <formula>H19&gt;0</formula>
    </cfRule>
    <cfRule type="expression" priority="5" aboveAverage="0" equalAverage="0" bottom="0" percent="0" rank="0" text="" dxfId="1">
      <formula>H19&lt;0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32"/>
  </cols>
  <sheetData>
    <row r="1" customFormat="false" ht="45.75" hidden="false" customHeight="true" outlineLevel="0" collapsed="false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21.75" hidden="false" customHeight="true" outlineLevel="0" collapsed="false">
      <c r="A2" s="20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1" t="n">
        <v>1000</v>
      </c>
      <c r="L2" s="22" t="s">
        <v>32</v>
      </c>
      <c r="M2" s="22"/>
    </row>
    <row r="3" customFormat="false" ht="27.75" hidden="false" customHeight="true" outlineLevel="0" collapsed="false">
      <c r="A3" s="23" t="s">
        <v>33</v>
      </c>
      <c r="B3" s="23" t="s">
        <v>8</v>
      </c>
      <c r="C3" s="23" t="s">
        <v>34</v>
      </c>
      <c r="D3" s="23" t="s">
        <v>22</v>
      </c>
      <c r="E3" s="23" t="s">
        <v>35</v>
      </c>
      <c r="F3" s="23" t="s">
        <v>36</v>
      </c>
      <c r="G3" s="23" t="s">
        <v>37</v>
      </c>
      <c r="H3" s="23" t="s">
        <v>38</v>
      </c>
      <c r="I3" s="23" t="s">
        <v>39</v>
      </c>
      <c r="J3" s="23" t="s">
        <v>14</v>
      </c>
      <c r="K3" s="23" t="s">
        <v>40</v>
      </c>
      <c r="L3" s="23" t="s">
        <v>41</v>
      </c>
      <c r="M3" s="23" t="s">
        <v>42</v>
      </c>
    </row>
    <row r="4" customFormat="false" ht="18" hidden="false" customHeight="true" outlineLevel="0" collapsed="false">
      <c r="A4" s="24"/>
      <c r="B4" s="25"/>
      <c r="C4" s="25"/>
      <c r="D4" s="25"/>
      <c r="E4" s="25"/>
      <c r="F4" s="25"/>
      <c r="G4" s="25"/>
      <c r="H4" s="26"/>
      <c r="I4" s="25"/>
      <c r="J4" s="27" t="str">
        <f aca="false">IF(OR(H4="",I4="",I4="Pending"),"",IF(I4="Win",IF(G4&gt;=100,H4*(G4/100),H4*(100/ABS(G4))),IF(I4="Loss",-H4,IF(I4="Push",0,""))))</f>
        <v/>
      </c>
      <c r="K4" s="26" t="str">
        <f aca="false">IF(H4="","",K2+IF(J4="",0,J4))</f>
        <v/>
      </c>
      <c r="L4" s="28"/>
      <c r="M4" s="28"/>
    </row>
    <row r="5" customFormat="false" ht="18" hidden="false" customHeight="true" outlineLevel="0" collapsed="false">
      <c r="A5" s="29"/>
      <c r="B5" s="30"/>
      <c r="C5" s="30"/>
      <c r="D5" s="30"/>
      <c r="E5" s="30"/>
      <c r="F5" s="30"/>
      <c r="G5" s="30"/>
      <c r="H5" s="31"/>
      <c r="I5" s="30"/>
      <c r="J5" s="32" t="str">
        <f aca="false">IF(OR(H5="",I5="",I5="Pending"),"",IF(I5="Win",IF(G5&gt;=100,H5*(G5/100),H5*(100/ABS(G5))),IF(I5="Loss",-H5,IF(I5="Push",0,""))))</f>
        <v/>
      </c>
      <c r="K5" s="31" t="str">
        <f aca="false">IF(H5="","",IF(K4="",K2,K4)+IF(J5="",0,J5))</f>
        <v/>
      </c>
      <c r="L5" s="33"/>
      <c r="M5" s="33"/>
    </row>
    <row r="6" customFormat="false" ht="18" hidden="false" customHeight="true" outlineLevel="0" collapsed="false">
      <c r="A6" s="24"/>
      <c r="B6" s="25"/>
      <c r="C6" s="25"/>
      <c r="D6" s="25"/>
      <c r="E6" s="25"/>
      <c r="F6" s="25"/>
      <c r="G6" s="25"/>
      <c r="H6" s="26"/>
      <c r="I6" s="25"/>
      <c r="J6" s="27" t="str">
        <f aca="false">IF(OR(H6="",I6="",I6="Pending"),"",IF(I6="Win",IF(G6&gt;=100,H6*(G6/100),H6*(100/ABS(G6))),IF(I6="Loss",-H6,IF(I6="Push",0,""))))</f>
        <v/>
      </c>
      <c r="K6" s="26" t="str">
        <f aca="false">IF(H6="","",IF(K5="",K2,K5)+IF(J6="",0,J6))</f>
        <v/>
      </c>
      <c r="L6" s="28"/>
      <c r="M6" s="28"/>
    </row>
    <row r="7" customFormat="false" ht="18" hidden="false" customHeight="true" outlineLevel="0" collapsed="false">
      <c r="A7" s="29"/>
      <c r="B7" s="30"/>
      <c r="C7" s="30"/>
      <c r="D7" s="30"/>
      <c r="E7" s="30"/>
      <c r="F7" s="30"/>
      <c r="G7" s="30"/>
      <c r="H7" s="31"/>
      <c r="I7" s="30"/>
      <c r="J7" s="32" t="str">
        <f aca="false">IF(OR(H7="",I7="",I7="Pending"),"",IF(I7="Win",IF(G7&gt;=100,H7*(G7/100),H7*(100/ABS(G7))),IF(I7="Loss",-H7,IF(I7="Push",0,""))))</f>
        <v/>
      </c>
      <c r="K7" s="31" t="str">
        <f aca="false">IF(H7="","",IF(K6="",K2,K6)+IF(J7="",0,J7))</f>
        <v/>
      </c>
      <c r="L7" s="33"/>
      <c r="M7" s="33"/>
    </row>
    <row r="8" customFormat="false" ht="18" hidden="false" customHeight="true" outlineLevel="0" collapsed="false">
      <c r="A8" s="24"/>
      <c r="B8" s="25"/>
      <c r="C8" s="25"/>
      <c r="D8" s="25"/>
      <c r="E8" s="25"/>
      <c r="F8" s="25"/>
      <c r="G8" s="25"/>
      <c r="H8" s="26"/>
      <c r="I8" s="25"/>
      <c r="J8" s="27" t="str">
        <f aca="false">IF(OR(H8="",I8="",I8="Pending"),"",IF(I8="Win",IF(G8&gt;=100,H8*(G8/100),H8*(100/ABS(G8))),IF(I8="Loss",-H8,IF(I8="Push",0,""))))</f>
        <v/>
      </c>
      <c r="K8" s="26" t="str">
        <f aca="false">IF(H8="","",IF(K7="",K2,K7)+IF(J8="",0,J8))</f>
        <v/>
      </c>
      <c r="L8" s="28"/>
      <c r="M8" s="28"/>
    </row>
    <row r="9" customFormat="false" ht="18" hidden="false" customHeight="true" outlineLevel="0" collapsed="false">
      <c r="A9" s="29"/>
      <c r="B9" s="30"/>
      <c r="C9" s="30"/>
      <c r="D9" s="30"/>
      <c r="E9" s="30"/>
      <c r="F9" s="30"/>
      <c r="G9" s="30"/>
      <c r="H9" s="31"/>
      <c r="I9" s="30"/>
      <c r="J9" s="32" t="str">
        <f aca="false">IF(OR(H9="",I9="",I9="Pending"),"",IF(I9="Win",IF(G9&gt;=100,H9*(G9/100),H9*(100/ABS(G9))),IF(I9="Loss",-H9,IF(I9="Push",0,""))))</f>
        <v/>
      </c>
      <c r="K9" s="31" t="str">
        <f aca="false">IF(H9="","",IF(K8="",K2,K8)+IF(J9="",0,J9))</f>
        <v/>
      </c>
      <c r="L9" s="33"/>
      <c r="M9" s="33"/>
    </row>
    <row r="10" customFormat="false" ht="18" hidden="false" customHeight="true" outlineLevel="0" collapsed="false">
      <c r="A10" s="24"/>
      <c r="B10" s="25"/>
      <c r="C10" s="25"/>
      <c r="D10" s="25"/>
      <c r="E10" s="25"/>
      <c r="F10" s="25"/>
      <c r="G10" s="25"/>
      <c r="H10" s="26"/>
      <c r="I10" s="25"/>
      <c r="J10" s="27" t="str">
        <f aca="false">IF(OR(H10="",I10="",I10="Pending"),"",IF(I10="Win",IF(G10&gt;=100,H10*(G10/100),H10*(100/ABS(G10))),IF(I10="Loss",-H10,IF(I10="Push",0,""))))</f>
        <v/>
      </c>
      <c r="K10" s="26" t="str">
        <f aca="false">IF(H10="","",IF(K9="",K2,K9)+IF(J10="",0,J10))</f>
        <v/>
      </c>
      <c r="L10" s="28"/>
      <c r="M10" s="28"/>
    </row>
    <row r="11" customFormat="false" ht="18" hidden="false" customHeight="true" outlineLevel="0" collapsed="false">
      <c r="A11" s="29"/>
      <c r="B11" s="30"/>
      <c r="C11" s="30"/>
      <c r="D11" s="30"/>
      <c r="E11" s="30"/>
      <c r="F11" s="30"/>
      <c r="G11" s="30"/>
      <c r="H11" s="31"/>
      <c r="I11" s="30"/>
      <c r="J11" s="32" t="str">
        <f aca="false">IF(OR(H11="",I11="",I11="Pending"),"",IF(I11="Win",IF(G11&gt;=100,H11*(G11/100),H11*(100/ABS(G11))),IF(I11="Loss",-H11,IF(I11="Push",0,""))))</f>
        <v/>
      </c>
      <c r="K11" s="31" t="str">
        <f aca="false">IF(H11="","",IF(K10="",K2,K10)+IF(J11="",0,J11))</f>
        <v/>
      </c>
      <c r="L11" s="33"/>
      <c r="M11" s="33"/>
    </row>
    <row r="12" customFormat="false" ht="18" hidden="false" customHeight="true" outlineLevel="0" collapsed="false">
      <c r="A12" s="24"/>
      <c r="B12" s="25"/>
      <c r="C12" s="25"/>
      <c r="D12" s="25"/>
      <c r="E12" s="25"/>
      <c r="F12" s="25"/>
      <c r="G12" s="25"/>
      <c r="H12" s="26"/>
      <c r="I12" s="25"/>
      <c r="J12" s="27" t="str">
        <f aca="false">IF(OR(H12="",I12="",I12="Pending"),"",IF(I12="Win",IF(G12&gt;=100,H12*(G12/100),H12*(100/ABS(G12))),IF(I12="Loss",-H12,IF(I12="Push",0,""))))</f>
        <v/>
      </c>
      <c r="K12" s="26" t="str">
        <f aca="false">IF(H12="","",IF(K11="",K2,K11)+IF(J12="",0,J12))</f>
        <v/>
      </c>
      <c r="L12" s="28"/>
      <c r="M12" s="28"/>
    </row>
    <row r="13" customFormat="false" ht="18" hidden="false" customHeight="true" outlineLevel="0" collapsed="false">
      <c r="A13" s="29"/>
      <c r="B13" s="30"/>
      <c r="C13" s="30"/>
      <c r="D13" s="30"/>
      <c r="E13" s="30"/>
      <c r="F13" s="30"/>
      <c r="G13" s="30"/>
      <c r="H13" s="31"/>
      <c r="I13" s="30"/>
      <c r="J13" s="32" t="str">
        <f aca="false">IF(OR(H13="",I13="",I13="Pending"),"",IF(I13="Win",IF(G13&gt;=100,H13*(G13/100),H13*(100/ABS(G13))),IF(I13="Loss",-H13,IF(I13="Push",0,""))))</f>
        <v/>
      </c>
      <c r="K13" s="31" t="str">
        <f aca="false">IF(H13="","",IF(K12="",K2,K12)+IF(J13="",0,J13))</f>
        <v/>
      </c>
      <c r="L13" s="33"/>
      <c r="M13" s="33"/>
    </row>
    <row r="14" customFormat="false" ht="18" hidden="false" customHeight="true" outlineLevel="0" collapsed="false">
      <c r="A14" s="24"/>
      <c r="B14" s="25"/>
      <c r="C14" s="25"/>
      <c r="D14" s="25"/>
      <c r="E14" s="25"/>
      <c r="F14" s="25"/>
      <c r="G14" s="25"/>
      <c r="H14" s="26"/>
      <c r="I14" s="25"/>
      <c r="J14" s="27" t="str">
        <f aca="false">IF(OR(H14="",I14="",I14="Pending"),"",IF(I14="Win",IF(G14&gt;=100,H14*(G14/100),H14*(100/ABS(G14))),IF(I14="Loss",-H14,IF(I14="Push",0,""))))</f>
        <v/>
      </c>
      <c r="K14" s="26" t="str">
        <f aca="false">IF(H14="","",IF(K13="",K2,K13)+IF(J14="",0,J14))</f>
        <v/>
      </c>
      <c r="L14" s="28"/>
      <c r="M14" s="28"/>
    </row>
    <row r="15" customFormat="false" ht="18" hidden="false" customHeight="true" outlineLevel="0" collapsed="false">
      <c r="A15" s="29"/>
      <c r="B15" s="30"/>
      <c r="C15" s="30"/>
      <c r="D15" s="30"/>
      <c r="E15" s="30"/>
      <c r="F15" s="30"/>
      <c r="G15" s="30"/>
      <c r="H15" s="31"/>
      <c r="I15" s="30"/>
      <c r="J15" s="32" t="str">
        <f aca="false">IF(OR(H15="",I15="",I15="Pending"),"",IF(I15="Win",IF(G15&gt;=100,H15*(G15/100),H15*(100/ABS(G15))),IF(I15="Loss",-H15,IF(I15="Push",0,""))))</f>
        <v/>
      </c>
      <c r="K15" s="31" t="str">
        <f aca="false">IF(H15="","",IF(K14="",K2,K14)+IF(J15="",0,J15))</f>
        <v/>
      </c>
      <c r="L15" s="33"/>
      <c r="M15" s="33"/>
    </row>
    <row r="16" customFormat="false" ht="18" hidden="false" customHeight="true" outlineLevel="0" collapsed="false">
      <c r="A16" s="24"/>
      <c r="B16" s="25"/>
      <c r="C16" s="25"/>
      <c r="D16" s="25"/>
      <c r="E16" s="25"/>
      <c r="F16" s="25"/>
      <c r="G16" s="25"/>
      <c r="H16" s="26"/>
      <c r="I16" s="25"/>
      <c r="J16" s="27" t="str">
        <f aca="false">IF(OR(H16="",I16="",I16="Pending"),"",IF(I16="Win",IF(G16&gt;=100,H16*(G16/100),H16*(100/ABS(G16))),IF(I16="Loss",-H16,IF(I16="Push",0,""))))</f>
        <v/>
      </c>
      <c r="K16" s="26" t="str">
        <f aca="false">IF(H16="","",IF(K15="",K2,K15)+IF(J16="",0,J16))</f>
        <v/>
      </c>
      <c r="L16" s="28"/>
      <c r="M16" s="28"/>
    </row>
    <row r="17" customFormat="false" ht="18" hidden="false" customHeight="true" outlineLevel="0" collapsed="false">
      <c r="A17" s="29"/>
      <c r="B17" s="30"/>
      <c r="C17" s="30"/>
      <c r="D17" s="30"/>
      <c r="E17" s="30"/>
      <c r="F17" s="30"/>
      <c r="G17" s="30"/>
      <c r="H17" s="31"/>
      <c r="I17" s="30"/>
      <c r="J17" s="32" t="str">
        <f aca="false">IF(OR(H17="",I17="",I17="Pending"),"",IF(I17="Win",IF(G17&gt;=100,H17*(G17/100),H17*(100/ABS(G17))),IF(I17="Loss",-H17,IF(I17="Push",0,""))))</f>
        <v/>
      </c>
      <c r="K17" s="31" t="str">
        <f aca="false">IF(H17="","",IF(K16="",K2,K16)+IF(J17="",0,J17))</f>
        <v/>
      </c>
      <c r="L17" s="33"/>
      <c r="M17" s="33"/>
    </row>
    <row r="18" customFormat="false" ht="18" hidden="false" customHeight="true" outlineLevel="0" collapsed="false">
      <c r="A18" s="24"/>
      <c r="B18" s="25"/>
      <c r="C18" s="25"/>
      <c r="D18" s="25"/>
      <c r="E18" s="25"/>
      <c r="F18" s="25"/>
      <c r="G18" s="25"/>
      <c r="H18" s="26"/>
      <c r="I18" s="25"/>
      <c r="J18" s="27" t="str">
        <f aca="false">IF(OR(H18="",I18="",I18="Pending"),"",IF(I18="Win",IF(G18&gt;=100,H18*(G18/100),H18*(100/ABS(G18))),IF(I18="Loss",-H18,IF(I18="Push",0,""))))</f>
        <v/>
      </c>
      <c r="K18" s="26" t="str">
        <f aca="false">IF(H18="","",IF(K17="",K2,K17)+IF(J18="",0,J18))</f>
        <v/>
      </c>
      <c r="L18" s="28"/>
      <c r="M18" s="28"/>
    </row>
    <row r="19" customFormat="false" ht="18" hidden="false" customHeight="true" outlineLevel="0" collapsed="false">
      <c r="A19" s="29"/>
      <c r="B19" s="30"/>
      <c r="C19" s="30"/>
      <c r="D19" s="30"/>
      <c r="E19" s="30"/>
      <c r="F19" s="30"/>
      <c r="G19" s="30"/>
      <c r="H19" s="31"/>
      <c r="I19" s="30"/>
      <c r="J19" s="32" t="str">
        <f aca="false">IF(OR(H19="",I19="",I19="Pending"),"",IF(I19="Win",IF(G19&gt;=100,H19*(G19/100),H19*(100/ABS(G19))),IF(I19="Loss",-H19,IF(I19="Push",0,""))))</f>
        <v/>
      </c>
      <c r="K19" s="31" t="str">
        <f aca="false">IF(H19="","",IF(K18="",K2,K18)+IF(J19="",0,J19))</f>
        <v/>
      </c>
      <c r="L19" s="33"/>
      <c r="M19" s="33"/>
    </row>
    <row r="20" customFormat="false" ht="18" hidden="false" customHeight="true" outlineLevel="0" collapsed="false">
      <c r="A20" s="24"/>
      <c r="B20" s="25"/>
      <c r="C20" s="25"/>
      <c r="D20" s="25"/>
      <c r="E20" s="25"/>
      <c r="F20" s="25"/>
      <c r="G20" s="25"/>
      <c r="H20" s="26"/>
      <c r="I20" s="25"/>
      <c r="J20" s="27" t="str">
        <f aca="false">IF(OR(H20="",I20="",I20="Pending"),"",IF(I20="Win",IF(G20&gt;=100,H20*(G20/100),H20*(100/ABS(G20))),IF(I20="Loss",-H20,IF(I20="Push",0,""))))</f>
        <v/>
      </c>
      <c r="K20" s="26" t="str">
        <f aca="false">IF(H20="","",IF(K19="",K2,K19)+IF(J20="",0,J20))</f>
        <v/>
      </c>
      <c r="L20" s="28"/>
      <c r="M20" s="28"/>
    </row>
    <row r="21" customFormat="false" ht="18" hidden="false" customHeight="true" outlineLevel="0" collapsed="false">
      <c r="A21" s="29"/>
      <c r="B21" s="30"/>
      <c r="C21" s="30"/>
      <c r="D21" s="30"/>
      <c r="E21" s="30"/>
      <c r="F21" s="30"/>
      <c r="G21" s="30"/>
      <c r="H21" s="31"/>
      <c r="I21" s="30"/>
      <c r="J21" s="32" t="str">
        <f aca="false">IF(OR(H21="",I21="",I21="Pending"),"",IF(I21="Win",IF(G21&gt;=100,H21*(G21/100),H21*(100/ABS(G21))),IF(I21="Loss",-H21,IF(I21="Push",0,""))))</f>
        <v/>
      </c>
      <c r="K21" s="31" t="str">
        <f aca="false">IF(H21="","",IF(K20="",K2,K20)+IF(J21="",0,J21))</f>
        <v/>
      </c>
      <c r="L21" s="33"/>
      <c r="M21" s="33"/>
    </row>
    <row r="22" customFormat="false" ht="18" hidden="false" customHeight="true" outlineLevel="0" collapsed="false">
      <c r="A22" s="24"/>
      <c r="B22" s="25"/>
      <c r="C22" s="25"/>
      <c r="D22" s="25"/>
      <c r="E22" s="25"/>
      <c r="F22" s="25"/>
      <c r="G22" s="25"/>
      <c r="H22" s="26"/>
      <c r="I22" s="25"/>
      <c r="J22" s="27" t="str">
        <f aca="false">IF(OR(H22="",I22="",I22="Pending"),"",IF(I22="Win",IF(G22&gt;=100,H22*(G22/100),H22*(100/ABS(G22))),IF(I22="Loss",-H22,IF(I22="Push",0,""))))</f>
        <v/>
      </c>
      <c r="K22" s="26" t="str">
        <f aca="false">IF(H22="","",IF(K21="",K2,K21)+IF(J22="",0,J22))</f>
        <v/>
      </c>
      <c r="L22" s="28"/>
      <c r="M22" s="28"/>
    </row>
    <row r="23" customFormat="false" ht="18" hidden="false" customHeight="true" outlineLevel="0" collapsed="false">
      <c r="A23" s="29"/>
      <c r="B23" s="30"/>
      <c r="C23" s="30"/>
      <c r="D23" s="30"/>
      <c r="E23" s="30"/>
      <c r="F23" s="30"/>
      <c r="G23" s="30"/>
      <c r="H23" s="31"/>
      <c r="I23" s="30"/>
      <c r="J23" s="32" t="str">
        <f aca="false">IF(OR(H23="",I23="",I23="Pending"),"",IF(I23="Win",IF(G23&gt;=100,H23*(G23/100),H23*(100/ABS(G23))),IF(I23="Loss",-H23,IF(I23="Push",0,""))))</f>
        <v/>
      </c>
      <c r="K23" s="31" t="str">
        <f aca="false">IF(H23="","",IF(K22="",K2,K22)+IF(J23="",0,J23))</f>
        <v/>
      </c>
      <c r="L23" s="33"/>
      <c r="M23" s="33"/>
    </row>
    <row r="24" customFormat="false" ht="18" hidden="false" customHeight="true" outlineLevel="0" collapsed="false">
      <c r="A24" s="24"/>
      <c r="B24" s="25"/>
      <c r="C24" s="25"/>
      <c r="D24" s="25"/>
      <c r="E24" s="25"/>
      <c r="F24" s="25"/>
      <c r="G24" s="25"/>
      <c r="H24" s="26"/>
      <c r="I24" s="25"/>
      <c r="J24" s="27" t="str">
        <f aca="false">IF(OR(H24="",I24="",I24="Pending"),"",IF(I24="Win",IF(G24&gt;=100,H24*(G24/100),H24*(100/ABS(G24))),IF(I24="Loss",-H24,IF(I24="Push",0,""))))</f>
        <v/>
      </c>
      <c r="K24" s="26" t="str">
        <f aca="false">IF(H24="","",IF(K23="",K2,K23)+IF(J24="",0,J24))</f>
        <v/>
      </c>
      <c r="L24" s="28"/>
      <c r="M24" s="28"/>
    </row>
    <row r="25" customFormat="false" ht="18" hidden="false" customHeight="true" outlineLevel="0" collapsed="false">
      <c r="A25" s="29"/>
      <c r="B25" s="30"/>
      <c r="C25" s="30"/>
      <c r="D25" s="30"/>
      <c r="E25" s="30"/>
      <c r="F25" s="30"/>
      <c r="G25" s="30"/>
      <c r="H25" s="31"/>
      <c r="I25" s="30"/>
      <c r="J25" s="32" t="str">
        <f aca="false">IF(OR(H25="",I25="",I25="Pending"),"",IF(I25="Win",IF(G25&gt;=100,H25*(G25/100),H25*(100/ABS(G25))),IF(I25="Loss",-H25,IF(I25="Push",0,""))))</f>
        <v/>
      </c>
      <c r="K25" s="31" t="str">
        <f aca="false">IF(H25="","",IF(K24="",K2,K24)+IF(J25="",0,J25))</f>
        <v/>
      </c>
      <c r="L25" s="33"/>
      <c r="M25" s="33"/>
    </row>
    <row r="26" customFormat="false" ht="18" hidden="false" customHeight="true" outlineLevel="0" collapsed="false">
      <c r="A26" s="24"/>
      <c r="B26" s="25"/>
      <c r="C26" s="25"/>
      <c r="D26" s="25"/>
      <c r="E26" s="25"/>
      <c r="F26" s="25"/>
      <c r="G26" s="25"/>
      <c r="H26" s="26"/>
      <c r="I26" s="25"/>
      <c r="J26" s="27" t="str">
        <f aca="false">IF(OR(H26="",I26="",I26="Pending"),"",IF(I26="Win",IF(G26&gt;=100,H26*(G26/100),H26*(100/ABS(G26))),IF(I26="Loss",-H26,IF(I26="Push",0,""))))</f>
        <v/>
      </c>
      <c r="K26" s="26" t="str">
        <f aca="false">IF(H26="","",IF(K25="",K2,K25)+IF(J26="",0,J26))</f>
        <v/>
      </c>
      <c r="L26" s="28"/>
      <c r="M26" s="28"/>
    </row>
    <row r="27" customFormat="false" ht="18" hidden="false" customHeight="true" outlineLevel="0" collapsed="false">
      <c r="A27" s="29"/>
      <c r="B27" s="30"/>
      <c r="C27" s="30"/>
      <c r="D27" s="30"/>
      <c r="E27" s="30"/>
      <c r="F27" s="30"/>
      <c r="G27" s="30"/>
      <c r="H27" s="31"/>
      <c r="I27" s="30"/>
      <c r="J27" s="32" t="str">
        <f aca="false">IF(OR(H27="",I27="",I27="Pending"),"",IF(I27="Win",IF(G27&gt;=100,H27*(G27/100),H27*(100/ABS(G27))),IF(I27="Loss",-H27,IF(I27="Push",0,""))))</f>
        <v/>
      </c>
      <c r="K27" s="31" t="str">
        <f aca="false">IF(H27="","",IF(K26="",K2,K26)+IF(J27="",0,J27))</f>
        <v/>
      </c>
      <c r="L27" s="33"/>
      <c r="M27" s="33"/>
    </row>
    <row r="28" customFormat="false" ht="18" hidden="false" customHeight="true" outlineLevel="0" collapsed="false">
      <c r="A28" s="24"/>
      <c r="B28" s="25"/>
      <c r="C28" s="25"/>
      <c r="D28" s="25"/>
      <c r="E28" s="25"/>
      <c r="F28" s="25"/>
      <c r="G28" s="25"/>
      <c r="H28" s="26"/>
      <c r="I28" s="25"/>
      <c r="J28" s="27" t="str">
        <f aca="false">IF(OR(H28="",I28="",I28="Pending"),"",IF(I28="Win",IF(G28&gt;=100,H28*(G28/100),H28*(100/ABS(G28))),IF(I28="Loss",-H28,IF(I28="Push",0,""))))</f>
        <v/>
      </c>
      <c r="K28" s="26" t="str">
        <f aca="false">IF(H28="","",IF(K27="",K2,K27)+IF(J28="",0,J28))</f>
        <v/>
      </c>
      <c r="L28" s="28"/>
      <c r="M28" s="28"/>
    </row>
    <row r="29" customFormat="false" ht="18" hidden="false" customHeight="true" outlineLevel="0" collapsed="false">
      <c r="A29" s="29"/>
      <c r="B29" s="30"/>
      <c r="C29" s="30"/>
      <c r="D29" s="30"/>
      <c r="E29" s="30"/>
      <c r="F29" s="30"/>
      <c r="G29" s="30"/>
      <c r="H29" s="31"/>
      <c r="I29" s="30"/>
      <c r="J29" s="32" t="str">
        <f aca="false">IF(OR(H29="",I29="",I29="Pending"),"",IF(I29="Win",IF(G29&gt;=100,H29*(G29/100),H29*(100/ABS(G29))),IF(I29="Loss",-H29,IF(I29="Push",0,""))))</f>
        <v/>
      </c>
      <c r="K29" s="31" t="str">
        <f aca="false">IF(H29="","",IF(K28="",K2,K28)+IF(J29="",0,J29))</f>
        <v/>
      </c>
      <c r="L29" s="33"/>
      <c r="M29" s="33"/>
    </row>
    <row r="30" customFormat="false" ht="18" hidden="false" customHeight="true" outlineLevel="0" collapsed="false">
      <c r="A30" s="24"/>
      <c r="B30" s="25"/>
      <c r="C30" s="25"/>
      <c r="D30" s="25"/>
      <c r="E30" s="25"/>
      <c r="F30" s="25"/>
      <c r="G30" s="25"/>
      <c r="H30" s="26"/>
      <c r="I30" s="25"/>
      <c r="J30" s="27" t="str">
        <f aca="false">IF(OR(H30="",I30="",I30="Pending"),"",IF(I30="Win",IF(G30&gt;=100,H30*(G30/100),H30*(100/ABS(G30))),IF(I30="Loss",-H30,IF(I30="Push",0,""))))</f>
        <v/>
      </c>
      <c r="K30" s="26" t="str">
        <f aca="false">IF(H30="","",IF(K29="",K2,K29)+IF(J30="",0,J30))</f>
        <v/>
      </c>
      <c r="L30" s="28"/>
      <c r="M30" s="28"/>
    </row>
    <row r="31" customFormat="false" ht="18" hidden="false" customHeight="true" outlineLevel="0" collapsed="false">
      <c r="A31" s="29"/>
      <c r="B31" s="30"/>
      <c r="C31" s="30"/>
      <c r="D31" s="30"/>
      <c r="E31" s="30"/>
      <c r="F31" s="30"/>
      <c r="G31" s="30"/>
      <c r="H31" s="31"/>
      <c r="I31" s="30"/>
      <c r="J31" s="32" t="str">
        <f aca="false">IF(OR(H31="",I31="",I31="Pending"),"",IF(I31="Win",IF(G31&gt;=100,H31*(G31/100),H31*(100/ABS(G31))),IF(I31="Loss",-H31,IF(I31="Push",0,""))))</f>
        <v/>
      </c>
      <c r="K31" s="31" t="str">
        <f aca="false">IF(H31="","",IF(K30="",K2,K30)+IF(J31="",0,J31))</f>
        <v/>
      </c>
      <c r="L31" s="33"/>
      <c r="M31" s="33"/>
    </row>
    <row r="32" customFormat="false" ht="18" hidden="false" customHeight="true" outlineLevel="0" collapsed="false">
      <c r="A32" s="24"/>
      <c r="B32" s="25"/>
      <c r="C32" s="25"/>
      <c r="D32" s="25"/>
      <c r="E32" s="25"/>
      <c r="F32" s="25"/>
      <c r="G32" s="25"/>
      <c r="H32" s="26"/>
      <c r="I32" s="25"/>
      <c r="J32" s="27" t="str">
        <f aca="false">IF(OR(H32="",I32="",I32="Pending"),"",IF(I32="Win",IF(G32&gt;=100,H32*(G32/100),H32*(100/ABS(G32))),IF(I32="Loss",-H32,IF(I32="Push",0,""))))</f>
        <v/>
      </c>
      <c r="K32" s="26" t="str">
        <f aca="false">IF(H32="","",IF(K31="",K2,K31)+IF(J32="",0,J32))</f>
        <v/>
      </c>
      <c r="L32" s="28"/>
      <c r="M32" s="28"/>
    </row>
    <row r="33" customFormat="false" ht="18" hidden="false" customHeight="true" outlineLevel="0" collapsed="false">
      <c r="A33" s="29"/>
      <c r="B33" s="30"/>
      <c r="C33" s="30"/>
      <c r="D33" s="30"/>
      <c r="E33" s="30"/>
      <c r="F33" s="30"/>
      <c r="G33" s="30"/>
      <c r="H33" s="31"/>
      <c r="I33" s="30"/>
      <c r="J33" s="32" t="str">
        <f aca="false">IF(OR(H33="",I33="",I33="Pending"),"",IF(I33="Win",IF(G33&gt;=100,H33*(G33/100),H33*(100/ABS(G33))),IF(I33="Loss",-H33,IF(I33="Push",0,""))))</f>
        <v/>
      </c>
      <c r="K33" s="31" t="str">
        <f aca="false">IF(H33="","",IF(K32="",K2,K32)+IF(J33="",0,J33))</f>
        <v/>
      </c>
      <c r="L33" s="33"/>
      <c r="M33" s="33"/>
    </row>
    <row r="34" customFormat="false" ht="18" hidden="false" customHeight="true" outlineLevel="0" collapsed="false">
      <c r="A34" s="24"/>
      <c r="B34" s="25"/>
      <c r="C34" s="25"/>
      <c r="D34" s="25"/>
      <c r="E34" s="25"/>
      <c r="F34" s="25"/>
      <c r="G34" s="25"/>
      <c r="H34" s="26"/>
      <c r="I34" s="25"/>
      <c r="J34" s="27" t="str">
        <f aca="false">IF(OR(H34="",I34="",I34="Pending"),"",IF(I34="Win",IF(G34&gt;=100,H34*(G34/100),H34*(100/ABS(G34))),IF(I34="Loss",-H34,IF(I34="Push",0,""))))</f>
        <v/>
      </c>
      <c r="K34" s="26" t="str">
        <f aca="false">IF(H34="","",IF(K33="",K2,K33)+IF(J34="",0,J34))</f>
        <v/>
      </c>
      <c r="L34" s="28"/>
      <c r="M34" s="28"/>
    </row>
    <row r="35" customFormat="false" ht="18" hidden="false" customHeight="true" outlineLevel="0" collapsed="false">
      <c r="A35" s="29"/>
      <c r="B35" s="30"/>
      <c r="C35" s="30"/>
      <c r="D35" s="30"/>
      <c r="E35" s="30"/>
      <c r="F35" s="30"/>
      <c r="G35" s="30"/>
      <c r="H35" s="31"/>
      <c r="I35" s="30"/>
      <c r="J35" s="32" t="str">
        <f aca="false">IF(OR(H35="",I35="",I35="Pending"),"",IF(I35="Win",IF(G35&gt;=100,H35*(G35/100),H35*(100/ABS(G35))),IF(I35="Loss",-H35,IF(I35="Push",0,""))))</f>
        <v/>
      </c>
      <c r="K35" s="31" t="str">
        <f aca="false">IF(H35="","",IF(K34="",K2,K34)+IF(J35="",0,J35))</f>
        <v/>
      </c>
      <c r="L35" s="33"/>
      <c r="M35" s="33"/>
    </row>
    <row r="36" customFormat="false" ht="18" hidden="false" customHeight="true" outlineLevel="0" collapsed="false">
      <c r="A36" s="24"/>
      <c r="B36" s="25"/>
      <c r="C36" s="25"/>
      <c r="D36" s="25"/>
      <c r="E36" s="25"/>
      <c r="F36" s="25"/>
      <c r="G36" s="25"/>
      <c r="H36" s="26"/>
      <c r="I36" s="25"/>
      <c r="J36" s="27" t="str">
        <f aca="false">IF(OR(H36="",I36="",I36="Pending"),"",IF(I36="Win",IF(G36&gt;=100,H36*(G36/100),H36*(100/ABS(G36))),IF(I36="Loss",-H36,IF(I36="Push",0,""))))</f>
        <v/>
      </c>
      <c r="K36" s="26" t="str">
        <f aca="false">IF(H36="","",IF(K35="",K2,K35)+IF(J36="",0,J36))</f>
        <v/>
      </c>
      <c r="L36" s="28"/>
      <c r="M36" s="28"/>
    </row>
    <row r="37" customFormat="false" ht="18" hidden="false" customHeight="true" outlineLevel="0" collapsed="false">
      <c r="A37" s="29"/>
      <c r="B37" s="30"/>
      <c r="C37" s="30"/>
      <c r="D37" s="30"/>
      <c r="E37" s="30"/>
      <c r="F37" s="30"/>
      <c r="G37" s="30"/>
      <c r="H37" s="31"/>
      <c r="I37" s="30"/>
      <c r="J37" s="32" t="str">
        <f aca="false">IF(OR(H37="",I37="",I37="Pending"),"",IF(I37="Win",IF(G37&gt;=100,H37*(G37/100),H37*(100/ABS(G37))),IF(I37="Loss",-H37,IF(I37="Push",0,""))))</f>
        <v/>
      </c>
      <c r="K37" s="31" t="str">
        <f aca="false">IF(H37="","",IF(K36="",K2,K36)+IF(J37="",0,J37))</f>
        <v/>
      </c>
      <c r="L37" s="33"/>
      <c r="M37" s="33"/>
    </row>
    <row r="38" customFormat="false" ht="18" hidden="false" customHeight="true" outlineLevel="0" collapsed="false">
      <c r="A38" s="24"/>
      <c r="B38" s="25"/>
      <c r="C38" s="25"/>
      <c r="D38" s="25"/>
      <c r="E38" s="25"/>
      <c r="F38" s="25"/>
      <c r="G38" s="25"/>
      <c r="H38" s="26"/>
      <c r="I38" s="25"/>
      <c r="J38" s="27" t="str">
        <f aca="false">IF(OR(H38="",I38="",I38="Pending"),"",IF(I38="Win",IF(G38&gt;=100,H38*(G38/100),H38*(100/ABS(G38))),IF(I38="Loss",-H38,IF(I38="Push",0,""))))</f>
        <v/>
      </c>
      <c r="K38" s="26" t="str">
        <f aca="false">IF(H38="","",IF(K37="",K2,K37)+IF(J38="",0,J38))</f>
        <v/>
      </c>
      <c r="L38" s="28"/>
      <c r="M38" s="28"/>
    </row>
    <row r="39" customFormat="false" ht="18" hidden="false" customHeight="true" outlineLevel="0" collapsed="false">
      <c r="A39" s="29"/>
      <c r="B39" s="30"/>
      <c r="C39" s="30"/>
      <c r="D39" s="30"/>
      <c r="E39" s="30"/>
      <c r="F39" s="30"/>
      <c r="G39" s="30"/>
      <c r="H39" s="31"/>
      <c r="I39" s="30"/>
      <c r="J39" s="32" t="str">
        <f aca="false">IF(OR(H39="",I39="",I39="Pending"),"",IF(I39="Win",IF(G39&gt;=100,H39*(G39/100),H39*(100/ABS(G39))),IF(I39="Loss",-H39,IF(I39="Push",0,""))))</f>
        <v/>
      </c>
      <c r="K39" s="31" t="str">
        <f aca="false">IF(H39="","",IF(K38="",K2,K38)+IF(J39="",0,J39))</f>
        <v/>
      </c>
      <c r="L39" s="33"/>
      <c r="M39" s="33"/>
    </row>
    <row r="40" customFormat="false" ht="18" hidden="false" customHeight="true" outlineLevel="0" collapsed="false">
      <c r="A40" s="24"/>
      <c r="B40" s="25"/>
      <c r="C40" s="25"/>
      <c r="D40" s="25"/>
      <c r="E40" s="25"/>
      <c r="F40" s="25"/>
      <c r="G40" s="25"/>
      <c r="H40" s="26"/>
      <c r="I40" s="25"/>
      <c r="J40" s="27" t="str">
        <f aca="false">IF(OR(H40="",I40="",I40="Pending"),"",IF(I40="Win",IF(G40&gt;=100,H40*(G40/100),H40*(100/ABS(G40))),IF(I40="Loss",-H40,IF(I40="Push",0,""))))</f>
        <v/>
      </c>
      <c r="K40" s="26" t="str">
        <f aca="false">IF(H40="","",IF(K39="",K2,K39)+IF(J40="",0,J40))</f>
        <v/>
      </c>
      <c r="L40" s="28"/>
      <c r="M40" s="28"/>
    </row>
    <row r="41" customFormat="false" ht="18" hidden="false" customHeight="true" outlineLevel="0" collapsed="false">
      <c r="A41" s="29"/>
      <c r="B41" s="30"/>
      <c r="C41" s="30"/>
      <c r="D41" s="30"/>
      <c r="E41" s="30"/>
      <c r="F41" s="30"/>
      <c r="G41" s="30"/>
      <c r="H41" s="31"/>
      <c r="I41" s="30"/>
      <c r="J41" s="32" t="str">
        <f aca="false">IF(OR(H41="",I41="",I41="Pending"),"",IF(I41="Win",IF(G41&gt;=100,H41*(G41/100),H41*(100/ABS(G41))),IF(I41="Loss",-H41,IF(I41="Push",0,""))))</f>
        <v/>
      </c>
      <c r="K41" s="31" t="str">
        <f aca="false">IF(H41="","",IF(K40="",K2,K40)+IF(J41="",0,J41))</f>
        <v/>
      </c>
      <c r="L41" s="33"/>
      <c r="M41" s="33"/>
    </row>
    <row r="42" customFormat="false" ht="18" hidden="false" customHeight="true" outlineLevel="0" collapsed="false">
      <c r="A42" s="24"/>
      <c r="B42" s="25"/>
      <c r="C42" s="25"/>
      <c r="D42" s="25"/>
      <c r="E42" s="25"/>
      <c r="F42" s="25"/>
      <c r="G42" s="25"/>
      <c r="H42" s="26"/>
      <c r="I42" s="25"/>
      <c r="J42" s="27" t="str">
        <f aca="false">IF(OR(H42="",I42="",I42="Pending"),"",IF(I42="Win",IF(G42&gt;=100,H42*(G42/100),H42*(100/ABS(G42))),IF(I42="Loss",-H42,IF(I42="Push",0,""))))</f>
        <v/>
      </c>
      <c r="K42" s="26" t="str">
        <f aca="false">IF(H42="","",IF(K41="",K2,K41)+IF(J42="",0,J42))</f>
        <v/>
      </c>
      <c r="L42" s="28"/>
      <c r="M42" s="28"/>
    </row>
    <row r="43" customFormat="false" ht="18" hidden="false" customHeight="true" outlineLevel="0" collapsed="false">
      <c r="A43" s="29"/>
      <c r="B43" s="30"/>
      <c r="C43" s="30"/>
      <c r="D43" s="30"/>
      <c r="E43" s="30"/>
      <c r="F43" s="30"/>
      <c r="G43" s="30"/>
      <c r="H43" s="31"/>
      <c r="I43" s="30"/>
      <c r="J43" s="32" t="str">
        <f aca="false">IF(OR(H43="",I43="",I43="Pending"),"",IF(I43="Win",IF(G43&gt;=100,H43*(G43/100),H43*(100/ABS(G43))),IF(I43="Loss",-H43,IF(I43="Push",0,""))))</f>
        <v/>
      </c>
      <c r="K43" s="31" t="str">
        <f aca="false">IF(H43="","",IF(K42="",K2,K42)+IF(J43="",0,J43))</f>
        <v/>
      </c>
      <c r="L43" s="33"/>
      <c r="M43" s="33"/>
    </row>
    <row r="44" customFormat="false" ht="18" hidden="false" customHeight="true" outlineLevel="0" collapsed="false">
      <c r="A44" s="24"/>
      <c r="B44" s="25"/>
      <c r="C44" s="25"/>
      <c r="D44" s="25"/>
      <c r="E44" s="25"/>
      <c r="F44" s="25"/>
      <c r="G44" s="25"/>
      <c r="H44" s="26"/>
      <c r="I44" s="25"/>
      <c r="J44" s="27" t="str">
        <f aca="false">IF(OR(H44="",I44="",I44="Pending"),"",IF(I44="Win",IF(G44&gt;=100,H44*(G44/100),H44*(100/ABS(G44))),IF(I44="Loss",-H44,IF(I44="Push",0,""))))</f>
        <v/>
      </c>
      <c r="K44" s="26" t="str">
        <f aca="false">IF(H44="","",IF(K43="",K2,K43)+IF(J44="",0,J44))</f>
        <v/>
      </c>
      <c r="L44" s="28"/>
      <c r="M44" s="28"/>
    </row>
    <row r="45" customFormat="false" ht="18" hidden="false" customHeight="true" outlineLevel="0" collapsed="false">
      <c r="A45" s="29"/>
      <c r="B45" s="30"/>
      <c r="C45" s="30"/>
      <c r="D45" s="30"/>
      <c r="E45" s="30"/>
      <c r="F45" s="30"/>
      <c r="G45" s="30"/>
      <c r="H45" s="31"/>
      <c r="I45" s="30"/>
      <c r="J45" s="32" t="str">
        <f aca="false">IF(OR(H45="",I45="",I45="Pending"),"",IF(I45="Win",IF(G45&gt;=100,H45*(G45/100),H45*(100/ABS(G45))),IF(I45="Loss",-H45,IF(I45="Push",0,""))))</f>
        <v/>
      </c>
      <c r="K45" s="31" t="str">
        <f aca="false">IF(H45="","",IF(K44="",K2,K44)+IF(J45="",0,J45))</f>
        <v/>
      </c>
      <c r="L45" s="33"/>
      <c r="M45" s="33"/>
    </row>
    <row r="46" customFormat="false" ht="18" hidden="false" customHeight="true" outlineLevel="0" collapsed="false">
      <c r="A46" s="24"/>
      <c r="B46" s="25"/>
      <c r="C46" s="25"/>
      <c r="D46" s="25"/>
      <c r="E46" s="25"/>
      <c r="F46" s="25"/>
      <c r="G46" s="25"/>
      <c r="H46" s="26"/>
      <c r="I46" s="25"/>
      <c r="J46" s="27" t="str">
        <f aca="false">IF(OR(H46="",I46="",I46="Pending"),"",IF(I46="Win",IF(G46&gt;=100,H46*(G46/100),H46*(100/ABS(G46))),IF(I46="Loss",-H46,IF(I46="Push",0,""))))</f>
        <v/>
      </c>
      <c r="K46" s="26" t="str">
        <f aca="false">IF(H46="","",IF(K45="",K2,K45)+IF(J46="",0,J46))</f>
        <v/>
      </c>
      <c r="L46" s="28"/>
      <c r="M46" s="28"/>
    </row>
    <row r="47" customFormat="false" ht="18" hidden="false" customHeight="true" outlineLevel="0" collapsed="false">
      <c r="A47" s="29"/>
      <c r="B47" s="30"/>
      <c r="C47" s="30"/>
      <c r="D47" s="30"/>
      <c r="E47" s="30"/>
      <c r="F47" s="30"/>
      <c r="G47" s="30"/>
      <c r="H47" s="31"/>
      <c r="I47" s="30"/>
      <c r="J47" s="32" t="str">
        <f aca="false">IF(OR(H47="",I47="",I47="Pending"),"",IF(I47="Win",IF(G47&gt;=100,H47*(G47/100),H47*(100/ABS(G47))),IF(I47="Loss",-H47,IF(I47="Push",0,""))))</f>
        <v/>
      </c>
      <c r="K47" s="31" t="str">
        <f aca="false">IF(H47="","",IF(K46="",K2,K46)+IF(J47="",0,J47))</f>
        <v/>
      </c>
      <c r="L47" s="33"/>
      <c r="M47" s="33"/>
    </row>
    <row r="48" customFormat="false" ht="18" hidden="false" customHeight="true" outlineLevel="0" collapsed="false">
      <c r="A48" s="24"/>
      <c r="B48" s="25"/>
      <c r="C48" s="25"/>
      <c r="D48" s="25"/>
      <c r="E48" s="25"/>
      <c r="F48" s="25"/>
      <c r="G48" s="25"/>
      <c r="H48" s="26"/>
      <c r="I48" s="25"/>
      <c r="J48" s="27" t="str">
        <f aca="false">IF(OR(H48="",I48="",I48="Pending"),"",IF(I48="Win",IF(G48&gt;=100,H48*(G48/100),H48*(100/ABS(G48))),IF(I48="Loss",-H48,IF(I48="Push",0,""))))</f>
        <v/>
      </c>
      <c r="K48" s="26" t="str">
        <f aca="false">IF(H48="","",IF(K47="",K2,K47)+IF(J48="",0,J48))</f>
        <v/>
      </c>
      <c r="L48" s="28"/>
      <c r="M48" s="28"/>
    </row>
    <row r="49" customFormat="false" ht="18" hidden="false" customHeight="true" outlineLevel="0" collapsed="false">
      <c r="A49" s="29"/>
      <c r="B49" s="30"/>
      <c r="C49" s="30"/>
      <c r="D49" s="30"/>
      <c r="E49" s="30"/>
      <c r="F49" s="30"/>
      <c r="G49" s="30"/>
      <c r="H49" s="31"/>
      <c r="I49" s="30"/>
      <c r="J49" s="32" t="str">
        <f aca="false">IF(OR(H49="",I49="",I49="Pending"),"",IF(I49="Win",IF(G49&gt;=100,H49*(G49/100),H49*(100/ABS(G49))),IF(I49="Loss",-H49,IF(I49="Push",0,""))))</f>
        <v/>
      </c>
      <c r="K49" s="31" t="str">
        <f aca="false">IF(H49="","",IF(K48="",K2,K48)+IF(J49="",0,J49))</f>
        <v/>
      </c>
      <c r="L49" s="33"/>
      <c r="M49" s="33"/>
    </row>
    <row r="50" customFormat="false" ht="18" hidden="false" customHeight="true" outlineLevel="0" collapsed="false">
      <c r="A50" s="24"/>
      <c r="B50" s="25"/>
      <c r="C50" s="25"/>
      <c r="D50" s="25"/>
      <c r="E50" s="25"/>
      <c r="F50" s="25"/>
      <c r="G50" s="25"/>
      <c r="H50" s="26"/>
      <c r="I50" s="25"/>
      <c r="J50" s="27" t="str">
        <f aca="false">IF(OR(H50="",I50="",I50="Pending"),"",IF(I50="Win",IF(G50&gt;=100,H50*(G50/100),H50*(100/ABS(G50))),IF(I50="Loss",-H50,IF(I50="Push",0,""))))</f>
        <v/>
      </c>
      <c r="K50" s="26" t="str">
        <f aca="false">IF(H50="","",IF(K49="",K2,K49)+IF(J50="",0,J50))</f>
        <v/>
      </c>
      <c r="L50" s="28"/>
      <c r="M50" s="28"/>
    </row>
    <row r="51" customFormat="false" ht="18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30"/>
      <c r="J51" s="32" t="str">
        <f aca="false">IF(OR(H51="",I51="",I51="Pending"),"",IF(I51="Win",IF(G51&gt;=100,H51*(G51/100),H51*(100/ABS(G51))),IF(I51="Loss",-H51,IF(I51="Push",0,""))))</f>
        <v/>
      </c>
      <c r="K51" s="31" t="str">
        <f aca="false">IF(H51="","",IF(K50="",K2,K50)+IF(J51="",0,J51))</f>
        <v/>
      </c>
      <c r="L51" s="33"/>
      <c r="M51" s="33"/>
    </row>
    <row r="52" customFormat="false" ht="18" hidden="false" customHeight="true" outlineLevel="0" collapsed="false">
      <c r="A52" s="24"/>
      <c r="B52" s="25"/>
      <c r="C52" s="25"/>
      <c r="D52" s="25"/>
      <c r="E52" s="25"/>
      <c r="F52" s="25"/>
      <c r="G52" s="25"/>
      <c r="H52" s="26"/>
      <c r="I52" s="25"/>
      <c r="J52" s="27" t="str">
        <f aca="false">IF(OR(H52="",I52="",I52="Pending"),"",IF(I52="Win",IF(G52&gt;=100,H52*(G52/100),H52*(100/ABS(G52))),IF(I52="Loss",-H52,IF(I52="Push",0,""))))</f>
        <v/>
      </c>
      <c r="K52" s="26" t="str">
        <f aca="false">IF(H52="","",IF(K51="",K2,K51)+IF(J52="",0,J52))</f>
        <v/>
      </c>
      <c r="L52" s="28"/>
      <c r="M52" s="28"/>
    </row>
    <row r="53" customFormat="false" ht="18" hidden="false" customHeight="true" outlineLevel="0" collapsed="false">
      <c r="A53" s="29"/>
      <c r="B53" s="30"/>
      <c r="C53" s="30"/>
      <c r="D53" s="30"/>
      <c r="E53" s="30"/>
      <c r="F53" s="30"/>
      <c r="G53" s="30"/>
      <c r="H53" s="31"/>
      <c r="I53" s="30"/>
      <c r="J53" s="32" t="str">
        <f aca="false">IF(OR(H53="",I53="",I53="Pending"),"",IF(I53="Win",IF(G53&gt;=100,H53*(G53/100),H53*(100/ABS(G53))),IF(I53="Loss",-H53,IF(I53="Push",0,""))))</f>
        <v/>
      </c>
      <c r="K53" s="31" t="str">
        <f aca="false">IF(H53="","",IF(K52="",K2,K52)+IF(J53="",0,J53))</f>
        <v/>
      </c>
      <c r="L53" s="33"/>
      <c r="M53" s="33"/>
    </row>
    <row r="54" customFormat="false" ht="18" hidden="false" customHeight="true" outlineLevel="0" collapsed="false">
      <c r="A54" s="24"/>
      <c r="B54" s="25"/>
      <c r="C54" s="25"/>
      <c r="D54" s="25"/>
      <c r="E54" s="25"/>
      <c r="F54" s="25"/>
      <c r="G54" s="25"/>
      <c r="H54" s="26"/>
      <c r="I54" s="25"/>
      <c r="J54" s="27" t="str">
        <f aca="false">IF(OR(H54="",I54="",I54="Pending"),"",IF(I54="Win",IF(G54&gt;=100,H54*(G54/100),H54*(100/ABS(G54))),IF(I54="Loss",-H54,IF(I54="Push",0,""))))</f>
        <v/>
      </c>
      <c r="K54" s="26" t="str">
        <f aca="false">IF(H54="","",IF(K53="",K2,K53)+IF(J54="",0,J54))</f>
        <v/>
      </c>
      <c r="L54" s="28"/>
      <c r="M54" s="28"/>
    </row>
    <row r="55" customFormat="false" ht="18" hidden="false" customHeight="true" outlineLevel="0" collapsed="false">
      <c r="A55" s="29"/>
      <c r="B55" s="30"/>
      <c r="C55" s="30"/>
      <c r="D55" s="30"/>
      <c r="E55" s="30"/>
      <c r="F55" s="30"/>
      <c r="G55" s="30"/>
      <c r="H55" s="31"/>
      <c r="I55" s="30"/>
      <c r="J55" s="32" t="str">
        <f aca="false">IF(OR(H55="",I55="",I55="Pending"),"",IF(I55="Win",IF(G55&gt;=100,H55*(G55/100),H55*(100/ABS(G55))),IF(I55="Loss",-H55,IF(I55="Push",0,""))))</f>
        <v/>
      </c>
      <c r="K55" s="31" t="str">
        <f aca="false">IF(H55="","",IF(K54="",K2,K54)+IF(J55="",0,J55))</f>
        <v/>
      </c>
      <c r="L55" s="33"/>
      <c r="M55" s="33"/>
    </row>
    <row r="56" customFormat="false" ht="18" hidden="false" customHeight="true" outlineLevel="0" collapsed="false">
      <c r="A56" s="24"/>
      <c r="B56" s="25"/>
      <c r="C56" s="25"/>
      <c r="D56" s="25"/>
      <c r="E56" s="25"/>
      <c r="F56" s="25"/>
      <c r="G56" s="25"/>
      <c r="H56" s="26"/>
      <c r="I56" s="25"/>
      <c r="J56" s="27" t="str">
        <f aca="false">IF(OR(H56="",I56="",I56="Pending"),"",IF(I56="Win",IF(G56&gt;=100,H56*(G56/100),H56*(100/ABS(G56))),IF(I56="Loss",-H56,IF(I56="Push",0,""))))</f>
        <v/>
      </c>
      <c r="K56" s="26" t="str">
        <f aca="false">IF(H56="","",IF(K55="",K2,K55)+IF(J56="",0,J56))</f>
        <v/>
      </c>
      <c r="L56" s="28"/>
      <c r="M56" s="28"/>
    </row>
    <row r="57" customFormat="false" ht="18" hidden="false" customHeight="true" outlineLevel="0" collapsed="false">
      <c r="A57" s="29"/>
      <c r="B57" s="30"/>
      <c r="C57" s="30"/>
      <c r="D57" s="30"/>
      <c r="E57" s="30"/>
      <c r="F57" s="30"/>
      <c r="G57" s="30"/>
      <c r="H57" s="31"/>
      <c r="I57" s="30"/>
      <c r="J57" s="32" t="str">
        <f aca="false">IF(OR(H57="",I57="",I57="Pending"),"",IF(I57="Win",IF(G57&gt;=100,H57*(G57/100),H57*(100/ABS(G57))),IF(I57="Loss",-H57,IF(I57="Push",0,""))))</f>
        <v/>
      </c>
      <c r="K57" s="31" t="str">
        <f aca="false">IF(H57="","",IF(K56="",K2,K56)+IF(J57="",0,J57))</f>
        <v/>
      </c>
      <c r="L57" s="33"/>
      <c r="M57" s="33"/>
    </row>
    <row r="58" customFormat="false" ht="18" hidden="false" customHeight="true" outlineLevel="0" collapsed="false">
      <c r="A58" s="24"/>
      <c r="B58" s="25"/>
      <c r="C58" s="25"/>
      <c r="D58" s="25"/>
      <c r="E58" s="25"/>
      <c r="F58" s="25"/>
      <c r="G58" s="25"/>
      <c r="H58" s="26"/>
      <c r="I58" s="25"/>
      <c r="J58" s="27" t="str">
        <f aca="false">IF(OR(H58="",I58="",I58="Pending"),"",IF(I58="Win",IF(G58&gt;=100,H58*(G58/100),H58*(100/ABS(G58))),IF(I58="Loss",-H58,IF(I58="Push",0,""))))</f>
        <v/>
      </c>
      <c r="K58" s="26" t="str">
        <f aca="false">IF(H58="","",IF(K57="",K2,K57)+IF(J58="",0,J58))</f>
        <v/>
      </c>
      <c r="L58" s="28"/>
      <c r="M58" s="28"/>
    </row>
    <row r="59" customFormat="false" ht="18" hidden="false" customHeight="true" outlineLevel="0" collapsed="false">
      <c r="A59" s="29"/>
      <c r="B59" s="30"/>
      <c r="C59" s="30"/>
      <c r="D59" s="30"/>
      <c r="E59" s="30"/>
      <c r="F59" s="30"/>
      <c r="G59" s="30"/>
      <c r="H59" s="31"/>
      <c r="I59" s="30"/>
      <c r="J59" s="32" t="str">
        <f aca="false">IF(OR(H59="",I59="",I59="Pending"),"",IF(I59="Win",IF(G59&gt;=100,H59*(G59/100),H59*(100/ABS(G59))),IF(I59="Loss",-H59,IF(I59="Push",0,""))))</f>
        <v/>
      </c>
      <c r="K59" s="31" t="str">
        <f aca="false">IF(H59="","",IF(K58="",K2,K58)+IF(J59="",0,J59))</f>
        <v/>
      </c>
      <c r="L59" s="33"/>
      <c r="M59" s="33"/>
    </row>
    <row r="60" customFormat="false" ht="18" hidden="false" customHeight="true" outlineLevel="0" collapsed="false">
      <c r="A60" s="24"/>
      <c r="B60" s="25"/>
      <c r="C60" s="25"/>
      <c r="D60" s="25"/>
      <c r="E60" s="25"/>
      <c r="F60" s="25"/>
      <c r="G60" s="25"/>
      <c r="H60" s="26"/>
      <c r="I60" s="25"/>
      <c r="J60" s="27" t="str">
        <f aca="false">IF(OR(H60="",I60="",I60="Pending"),"",IF(I60="Win",IF(G60&gt;=100,H60*(G60/100),H60*(100/ABS(G60))),IF(I60="Loss",-H60,IF(I60="Push",0,""))))</f>
        <v/>
      </c>
      <c r="K60" s="26" t="str">
        <f aca="false">IF(H60="","",IF(K59="",K2,K59)+IF(J60="",0,J60))</f>
        <v/>
      </c>
      <c r="L60" s="28"/>
      <c r="M60" s="28"/>
    </row>
    <row r="61" customFormat="false" ht="18" hidden="false" customHeight="true" outlineLevel="0" collapsed="false">
      <c r="A61" s="29"/>
      <c r="B61" s="30"/>
      <c r="C61" s="30"/>
      <c r="D61" s="30"/>
      <c r="E61" s="30"/>
      <c r="F61" s="30"/>
      <c r="G61" s="30"/>
      <c r="H61" s="31"/>
      <c r="I61" s="30"/>
      <c r="J61" s="32" t="str">
        <f aca="false">IF(OR(H61="",I61="",I61="Pending"),"",IF(I61="Win",IF(G61&gt;=100,H61*(G61/100),H61*(100/ABS(G61))),IF(I61="Loss",-H61,IF(I61="Push",0,""))))</f>
        <v/>
      </c>
      <c r="K61" s="31" t="str">
        <f aca="false">IF(H61="","",IF(K60="",K2,K60)+IF(J61="",0,J61))</f>
        <v/>
      </c>
      <c r="L61" s="33"/>
      <c r="M61" s="33"/>
    </row>
    <row r="62" customFormat="false" ht="18" hidden="false" customHeight="true" outlineLevel="0" collapsed="false">
      <c r="A62" s="24"/>
      <c r="B62" s="25"/>
      <c r="C62" s="25"/>
      <c r="D62" s="25"/>
      <c r="E62" s="25"/>
      <c r="F62" s="25"/>
      <c r="G62" s="25"/>
      <c r="H62" s="26"/>
      <c r="I62" s="25"/>
      <c r="J62" s="27" t="str">
        <f aca="false">IF(OR(H62="",I62="",I62="Pending"),"",IF(I62="Win",IF(G62&gt;=100,H62*(G62/100),H62*(100/ABS(G62))),IF(I62="Loss",-H62,IF(I62="Push",0,""))))</f>
        <v/>
      </c>
      <c r="K62" s="26" t="str">
        <f aca="false">IF(H62="","",IF(K61="",K2,K61)+IF(J62="",0,J62))</f>
        <v/>
      </c>
      <c r="L62" s="28"/>
      <c r="M62" s="28"/>
    </row>
    <row r="63" customFormat="false" ht="18" hidden="false" customHeight="true" outlineLevel="0" collapsed="false">
      <c r="A63" s="29"/>
      <c r="B63" s="30"/>
      <c r="C63" s="30"/>
      <c r="D63" s="30"/>
      <c r="E63" s="30"/>
      <c r="F63" s="30"/>
      <c r="G63" s="30"/>
      <c r="H63" s="31"/>
      <c r="I63" s="30"/>
      <c r="J63" s="32" t="str">
        <f aca="false">IF(OR(H63="",I63="",I63="Pending"),"",IF(I63="Win",IF(G63&gt;=100,H63*(G63/100),H63*(100/ABS(G63))),IF(I63="Loss",-H63,IF(I63="Push",0,""))))</f>
        <v/>
      </c>
      <c r="K63" s="31" t="str">
        <f aca="false">IF(H63="","",IF(K62="",K2,K62)+IF(J63="",0,J63))</f>
        <v/>
      </c>
      <c r="L63" s="33"/>
      <c r="M63" s="33"/>
    </row>
    <row r="64" customFormat="false" ht="18" hidden="false" customHeight="true" outlineLevel="0" collapsed="false">
      <c r="A64" s="24"/>
      <c r="B64" s="25"/>
      <c r="C64" s="25"/>
      <c r="D64" s="25"/>
      <c r="E64" s="25"/>
      <c r="F64" s="25"/>
      <c r="G64" s="25"/>
      <c r="H64" s="26"/>
      <c r="I64" s="25"/>
      <c r="J64" s="27" t="str">
        <f aca="false">IF(OR(H64="",I64="",I64="Pending"),"",IF(I64="Win",IF(G64&gt;=100,H64*(G64/100),H64*(100/ABS(G64))),IF(I64="Loss",-H64,IF(I64="Push",0,""))))</f>
        <v/>
      </c>
      <c r="K64" s="26" t="str">
        <f aca="false">IF(H64="","",IF(K63="",K2,K63)+IF(J64="",0,J64))</f>
        <v/>
      </c>
      <c r="L64" s="28"/>
      <c r="M64" s="28"/>
    </row>
    <row r="65" customFormat="false" ht="18" hidden="false" customHeight="true" outlineLevel="0" collapsed="false">
      <c r="A65" s="29"/>
      <c r="B65" s="30"/>
      <c r="C65" s="30"/>
      <c r="D65" s="30"/>
      <c r="E65" s="30"/>
      <c r="F65" s="30"/>
      <c r="G65" s="30"/>
      <c r="H65" s="31"/>
      <c r="I65" s="30"/>
      <c r="J65" s="32" t="str">
        <f aca="false">IF(OR(H65="",I65="",I65="Pending"),"",IF(I65="Win",IF(G65&gt;=100,H65*(G65/100),H65*(100/ABS(G65))),IF(I65="Loss",-H65,IF(I65="Push",0,""))))</f>
        <v/>
      </c>
      <c r="K65" s="31" t="str">
        <f aca="false">IF(H65="","",IF(K64="",K2,K64)+IF(J65="",0,J65))</f>
        <v/>
      </c>
      <c r="L65" s="33"/>
      <c r="M65" s="33"/>
    </row>
    <row r="66" customFormat="false" ht="18" hidden="false" customHeight="true" outlineLevel="0" collapsed="false">
      <c r="A66" s="24"/>
      <c r="B66" s="25"/>
      <c r="C66" s="25"/>
      <c r="D66" s="25"/>
      <c r="E66" s="25"/>
      <c r="F66" s="25"/>
      <c r="G66" s="25"/>
      <c r="H66" s="26"/>
      <c r="I66" s="25"/>
      <c r="J66" s="27" t="str">
        <f aca="false">IF(OR(H66="",I66="",I66="Pending"),"",IF(I66="Win",IF(G66&gt;=100,H66*(G66/100),H66*(100/ABS(G66))),IF(I66="Loss",-H66,IF(I66="Push",0,""))))</f>
        <v/>
      </c>
      <c r="K66" s="26" t="str">
        <f aca="false">IF(H66="","",IF(K65="",K2,K65)+IF(J66="",0,J66))</f>
        <v/>
      </c>
      <c r="L66" s="28"/>
      <c r="M66" s="28"/>
    </row>
    <row r="67" customFormat="false" ht="18" hidden="false" customHeight="true" outlineLevel="0" collapsed="false">
      <c r="A67" s="29"/>
      <c r="B67" s="30"/>
      <c r="C67" s="30"/>
      <c r="D67" s="30"/>
      <c r="E67" s="30"/>
      <c r="F67" s="30"/>
      <c r="G67" s="30"/>
      <c r="H67" s="31"/>
      <c r="I67" s="30"/>
      <c r="J67" s="32" t="str">
        <f aca="false">IF(OR(H67="",I67="",I67="Pending"),"",IF(I67="Win",IF(G67&gt;=100,H67*(G67/100),H67*(100/ABS(G67))),IF(I67="Loss",-H67,IF(I67="Push",0,""))))</f>
        <v/>
      </c>
      <c r="K67" s="31" t="str">
        <f aca="false">IF(H67="","",IF(K66="",K2,K66)+IF(J67="",0,J67))</f>
        <v/>
      </c>
      <c r="L67" s="33"/>
      <c r="M67" s="33"/>
    </row>
    <row r="68" customFormat="false" ht="18" hidden="false" customHeight="true" outlineLevel="0" collapsed="false">
      <c r="A68" s="24"/>
      <c r="B68" s="25"/>
      <c r="C68" s="25"/>
      <c r="D68" s="25"/>
      <c r="E68" s="25"/>
      <c r="F68" s="25"/>
      <c r="G68" s="25"/>
      <c r="H68" s="26"/>
      <c r="I68" s="25"/>
      <c r="J68" s="27" t="str">
        <f aca="false">IF(OR(H68="",I68="",I68="Pending"),"",IF(I68="Win",IF(G68&gt;=100,H68*(G68/100),H68*(100/ABS(G68))),IF(I68="Loss",-H68,IF(I68="Push",0,""))))</f>
        <v/>
      </c>
      <c r="K68" s="26" t="str">
        <f aca="false">IF(H68="","",IF(K67="",K2,K67)+IF(J68="",0,J68))</f>
        <v/>
      </c>
      <c r="L68" s="28"/>
      <c r="M68" s="28"/>
    </row>
    <row r="69" customFormat="false" ht="18" hidden="false" customHeight="true" outlineLevel="0" collapsed="false">
      <c r="A69" s="29"/>
      <c r="B69" s="30"/>
      <c r="C69" s="30"/>
      <c r="D69" s="30"/>
      <c r="E69" s="30"/>
      <c r="F69" s="30"/>
      <c r="G69" s="30"/>
      <c r="H69" s="31"/>
      <c r="I69" s="30"/>
      <c r="J69" s="32" t="str">
        <f aca="false">IF(OR(H69="",I69="",I69="Pending"),"",IF(I69="Win",IF(G69&gt;=100,H69*(G69/100),H69*(100/ABS(G69))),IF(I69="Loss",-H69,IF(I69="Push",0,""))))</f>
        <v/>
      </c>
      <c r="K69" s="31" t="str">
        <f aca="false">IF(H69="","",IF(K68="",K2,K68)+IF(J69="",0,J69))</f>
        <v/>
      </c>
      <c r="L69" s="33"/>
      <c r="M69" s="33"/>
    </row>
    <row r="70" customFormat="false" ht="18" hidden="false" customHeight="true" outlineLevel="0" collapsed="false">
      <c r="A70" s="24"/>
      <c r="B70" s="25"/>
      <c r="C70" s="25"/>
      <c r="D70" s="25"/>
      <c r="E70" s="25"/>
      <c r="F70" s="25"/>
      <c r="G70" s="25"/>
      <c r="H70" s="26"/>
      <c r="I70" s="25"/>
      <c r="J70" s="27" t="str">
        <f aca="false">IF(OR(H70="",I70="",I70="Pending"),"",IF(I70="Win",IF(G70&gt;=100,H70*(G70/100),H70*(100/ABS(G70))),IF(I70="Loss",-H70,IF(I70="Push",0,""))))</f>
        <v/>
      </c>
      <c r="K70" s="26" t="str">
        <f aca="false">IF(H70="","",IF(K69="",K2,K69)+IF(J70="",0,J70))</f>
        <v/>
      </c>
      <c r="L70" s="28"/>
      <c r="M70" s="28"/>
    </row>
    <row r="71" customFormat="false" ht="18" hidden="false" customHeight="true" outlineLevel="0" collapsed="false">
      <c r="A71" s="29"/>
      <c r="B71" s="30"/>
      <c r="C71" s="30"/>
      <c r="D71" s="30"/>
      <c r="E71" s="30"/>
      <c r="F71" s="30"/>
      <c r="G71" s="30"/>
      <c r="H71" s="31"/>
      <c r="I71" s="30"/>
      <c r="J71" s="32" t="str">
        <f aca="false">IF(OR(H71="",I71="",I71="Pending"),"",IF(I71="Win",IF(G71&gt;=100,H71*(G71/100),H71*(100/ABS(G71))),IF(I71="Loss",-H71,IF(I71="Push",0,""))))</f>
        <v/>
      </c>
      <c r="K71" s="31" t="str">
        <f aca="false">IF(H71="","",IF(K70="",K2,K70)+IF(J71="",0,J71))</f>
        <v/>
      </c>
      <c r="L71" s="33"/>
      <c r="M71" s="33"/>
    </row>
    <row r="72" customFormat="false" ht="18" hidden="false" customHeight="true" outlineLevel="0" collapsed="false">
      <c r="A72" s="24"/>
      <c r="B72" s="25"/>
      <c r="C72" s="25"/>
      <c r="D72" s="25"/>
      <c r="E72" s="25"/>
      <c r="F72" s="25"/>
      <c r="G72" s="25"/>
      <c r="H72" s="26"/>
      <c r="I72" s="25"/>
      <c r="J72" s="27" t="str">
        <f aca="false">IF(OR(H72="",I72="",I72="Pending"),"",IF(I72="Win",IF(G72&gt;=100,H72*(G72/100),H72*(100/ABS(G72))),IF(I72="Loss",-H72,IF(I72="Push",0,""))))</f>
        <v/>
      </c>
      <c r="K72" s="26" t="str">
        <f aca="false">IF(H72="","",IF(K71="",K2,K71)+IF(J72="",0,J72))</f>
        <v/>
      </c>
      <c r="L72" s="28"/>
      <c r="M72" s="28"/>
    </row>
    <row r="73" customFormat="false" ht="18" hidden="false" customHeight="true" outlineLevel="0" collapsed="false">
      <c r="A73" s="29"/>
      <c r="B73" s="30"/>
      <c r="C73" s="30"/>
      <c r="D73" s="30"/>
      <c r="E73" s="30"/>
      <c r="F73" s="30"/>
      <c r="G73" s="30"/>
      <c r="H73" s="31"/>
      <c r="I73" s="30"/>
      <c r="J73" s="32" t="str">
        <f aca="false">IF(OR(H73="",I73="",I73="Pending"),"",IF(I73="Win",IF(G73&gt;=100,H73*(G73/100),H73*(100/ABS(G73))),IF(I73="Loss",-H73,IF(I73="Push",0,""))))</f>
        <v/>
      </c>
      <c r="K73" s="31" t="str">
        <f aca="false">IF(H73="","",IF(K72="",K2,K72)+IF(J73="",0,J73))</f>
        <v/>
      </c>
      <c r="L73" s="33"/>
      <c r="M73" s="33"/>
    </row>
    <row r="74" customFormat="false" ht="18" hidden="false" customHeight="true" outlineLevel="0" collapsed="false">
      <c r="A74" s="24"/>
      <c r="B74" s="25"/>
      <c r="C74" s="25"/>
      <c r="D74" s="25"/>
      <c r="E74" s="25"/>
      <c r="F74" s="25"/>
      <c r="G74" s="25"/>
      <c r="H74" s="26"/>
      <c r="I74" s="25"/>
      <c r="J74" s="27" t="str">
        <f aca="false">IF(OR(H74="",I74="",I74="Pending"),"",IF(I74="Win",IF(G74&gt;=100,H74*(G74/100),H74*(100/ABS(G74))),IF(I74="Loss",-H74,IF(I74="Push",0,""))))</f>
        <v/>
      </c>
      <c r="K74" s="26" t="str">
        <f aca="false">IF(H74="","",IF(K73="",K2,K73)+IF(J74="",0,J74))</f>
        <v/>
      </c>
      <c r="L74" s="28"/>
      <c r="M74" s="28"/>
    </row>
    <row r="75" customFormat="false" ht="18" hidden="false" customHeight="true" outlineLevel="0" collapsed="false">
      <c r="A75" s="29"/>
      <c r="B75" s="30"/>
      <c r="C75" s="30"/>
      <c r="D75" s="30"/>
      <c r="E75" s="30"/>
      <c r="F75" s="30"/>
      <c r="G75" s="30"/>
      <c r="H75" s="31"/>
      <c r="I75" s="30"/>
      <c r="J75" s="32" t="str">
        <f aca="false">IF(OR(H75="",I75="",I75="Pending"),"",IF(I75="Win",IF(G75&gt;=100,H75*(G75/100),H75*(100/ABS(G75))),IF(I75="Loss",-H75,IF(I75="Push",0,""))))</f>
        <v/>
      </c>
      <c r="K75" s="31" t="str">
        <f aca="false">IF(H75="","",IF(K74="",K2,K74)+IF(J75="",0,J75))</f>
        <v/>
      </c>
      <c r="L75" s="33"/>
      <c r="M75" s="33"/>
    </row>
    <row r="76" customFormat="false" ht="18" hidden="false" customHeight="true" outlineLevel="0" collapsed="false">
      <c r="A76" s="24"/>
      <c r="B76" s="25"/>
      <c r="C76" s="25"/>
      <c r="D76" s="25"/>
      <c r="E76" s="25"/>
      <c r="F76" s="25"/>
      <c r="G76" s="25"/>
      <c r="H76" s="26"/>
      <c r="I76" s="25"/>
      <c r="J76" s="27" t="str">
        <f aca="false">IF(OR(H76="",I76="",I76="Pending"),"",IF(I76="Win",IF(G76&gt;=100,H76*(G76/100),H76*(100/ABS(G76))),IF(I76="Loss",-H76,IF(I76="Push",0,""))))</f>
        <v/>
      </c>
      <c r="K76" s="26" t="str">
        <f aca="false">IF(H76="","",IF(K75="",K2,K75)+IF(J76="",0,J76))</f>
        <v/>
      </c>
      <c r="L76" s="28"/>
      <c r="M76" s="28"/>
    </row>
    <row r="77" customFormat="false" ht="18" hidden="false" customHeight="true" outlineLevel="0" collapsed="false">
      <c r="A77" s="29"/>
      <c r="B77" s="30"/>
      <c r="C77" s="30"/>
      <c r="D77" s="30"/>
      <c r="E77" s="30"/>
      <c r="F77" s="30"/>
      <c r="G77" s="30"/>
      <c r="H77" s="31"/>
      <c r="I77" s="30"/>
      <c r="J77" s="32" t="str">
        <f aca="false">IF(OR(H77="",I77="",I77="Pending"),"",IF(I77="Win",IF(G77&gt;=100,H77*(G77/100),H77*(100/ABS(G77))),IF(I77="Loss",-H77,IF(I77="Push",0,""))))</f>
        <v/>
      </c>
      <c r="K77" s="31" t="str">
        <f aca="false">IF(H77="","",IF(K76="",K2,K76)+IF(J77="",0,J77))</f>
        <v/>
      </c>
      <c r="L77" s="33"/>
      <c r="M77" s="33"/>
    </row>
    <row r="78" customFormat="false" ht="18" hidden="false" customHeight="true" outlineLevel="0" collapsed="false">
      <c r="A78" s="24"/>
      <c r="B78" s="25"/>
      <c r="C78" s="25"/>
      <c r="D78" s="25"/>
      <c r="E78" s="25"/>
      <c r="F78" s="25"/>
      <c r="G78" s="25"/>
      <c r="H78" s="26"/>
      <c r="I78" s="25"/>
      <c r="J78" s="27" t="str">
        <f aca="false">IF(OR(H78="",I78="",I78="Pending"),"",IF(I78="Win",IF(G78&gt;=100,H78*(G78/100),H78*(100/ABS(G78))),IF(I78="Loss",-H78,IF(I78="Push",0,""))))</f>
        <v/>
      </c>
      <c r="K78" s="26" t="str">
        <f aca="false">IF(H78="","",IF(K77="",K2,K77)+IF(J78="",0,J78))</f>
        <v/>
      </c>
      <c r="L78" s="28"/>
      <c r="M78" s="28"/>
    </row>
    <row r="79" customFormat="false" ht="18" hidden="false" customHeight="true" outlineLevel="0" collapsed="false">
      <c r="A79" s="29"/>
      <c r="B79" s="30"/>
      <c r="C79" s="30"/>
      <c r="D79" s="30"/>
      <c r="E79" s="30"/>
      <c r="F79" s="30"/>
      <c r="G79" s="30"/>
      <c r="H79" s="31"/>
      <c r="I79" s="30"/>
      <c r="J79" s="32" t="str">
        <f aca="false">IF(OR(H79="",I79="",I79="Pending"),"",IF(I79="Win",IF(G79&gt;=100,H79*(G79/100),H79*(100/ABS(G79))),IF(I79="Loss",-H79,IF(I79="Push",0,""))))</f>
        <v/>
      </c>
      <c r="K79" s="31" t="str">
        <f aca="false">IF(H79="","",IF(K78="",K2,K78)+IF(J79="",0,J79))</f>
        <v/>
      </c>
      <c r="L79" s="33"/>
      <c r="M79" s="33"/>
    </row>
    <row r="80" customFormat="false" ht="18" hidden="false" customHeight="true" outlineLevel="0" collapsed="false">
      <c r="A80" s="24"/>
      <c r="B80" s="25"/>
      <c r="C80" s="25"/>
      <c r="D80" s="25"/>
      <c r="E80" s="25"/>
      <c r="F80" s="25"/>
      <c r="G80" s="25"/>
      <c r="H80" s="26"/>
      <c r="I80" s="25"/>
      <c r="J80" s="27" t="str">
        <f aca="false">IF(OR(H80="",I80="",I80="Pending"),"",IF(I80="Win",IF(G80&gt;=100,H80*(G80/100),H80*(100/ABS(G80))),IF(I80="Loss",-H80,IF(I80="Push",0,""))))</f>
        <v/>
      </c>
      <c r="K80" s="26" t="str">
        <f aca="false">IF(H80="","",IF(K79="",K2,K79)+IF(J80="",0,J80))</f>
        <v/>
      </c>
      <c r="L80" s="28"/>
      <c r="M80" s="28"/>
    </row>
    <row r="81" customFormat="false" ht="18" hidden="false" customHeight="true" outlineLevel="0" collapsed="false">
      <c r="A81" s="29"/>
      <c r="B81" s="30"/>
      <c r="C81" s="30"/>
      <c r="D81" s="30"/>
      <c r="E81" s="30"/>
      <c r="F81" s="30"/>
      <c r="G81" s="30"/>
      <c r="H81" s="31"/>
      <c r="I81" s="30"/>
      <c r="J81" s="32" t="str">
        <f aca="false">IF(OR(H81="",I81="",I81="Pending"),"",IF(I81="Win",IF(G81&gt;=100,H81*(G81/100),H81*(100/ABS(G81))),IF(I81="Loss",-H81,IF(I81="Push",0,""))))</f>
        <v/>
      </c>
      <c r="K81" s="31" t="str">
        <f aca="false">IF(H81="","",IF(K80="",K2,K80)+IF(J81="",0,J81))</f>
        <v/>
      </c>
      <c r="L81" s="33"/>
      <c r="M81" s="33"/>
    </row>
    <row r="82" customFormat="false" ht="18" hidden="false" customHeight="true" outlineLevel="0" collapsed="false">
      <c r="A82" s="24"/>
      <c r="B82" s="25"/>
      <c r="C82" s="25"/>
      <c r="D82" s="25"/>
      <c r="E82" s="25"/>
      <c r="F82" s="25"/>
      <c r="G82" s="25"/>
      <c r="H82" s="26"/>
      <c r="I82" s="25"/>
      <c r="J82" s="27" t="str">
        <f aca="false">IF(OR(H82="",I82="",I82="Pending"),"",IF(I82="Win",IF(G82&gt;=100,H82*(G82/100),H82*(100/ABS(G82))),IF(I82="Loss",-H82,IF(I82="Push",0,""))))</f>
        <v/>
      </c>
      <c r="K82" s="26" t="str">
        <f aca="false">IF(H82="","",IF(K81="",K2,K81)+IF(J82="",0,J82))</f>
        <v/>
      </c>
      <c r="L82" s="28"/>
      <c r="M82" s="28"/>
    </row>
    <row r="83" customFormat="false" ht="18" hidden="false" customHeight="true" outlineLevel="0" collapsed="false">
      <c r="A83" s="29"/>
      <c r="B83" s="30"/>
      <c r="C83" s="30"/>
      <c r="D83" s="30"/>
      <c r="E83" s="30"/>
      <c r="F83" s="30"/>
      <c r="G83" s="30"/>
      <c r="H83" s="31"/>
      <c r="I83" s="30"/>
      <c r="J83" s="32" t="str">
        <f aca="false">IF(OR(H83="",I83="",I83="Pending"),"",IF(I83="Win",IF(G83&gt;=100,H83*(G83/100),H83*(100/ABS(G83))),IF(I83="Loss",-H83,IF(I83="Push",0,""))))</f>
        <v/>
      </c>
      <c r="K83" s="31" t="str">
        <f aca="false">IF(H83="","",IF(K82="",K2,K82)+IF(J83="",0,J83))</f>
        <v/>
      </c>
      <c r="L83" s="33"/>
      <c r="M83" s="33"/>
    </row>
    <row r="84" customFormat="false" ht="18" hidden="false" customHeight="true" outlineLevel="0" collapsed="false">
      <c r="A84" s="24"/>
      <c r="B84" s="25"/>
      <c r="C84" s="25"/>
      <c r="D84" s="25"/>
      <c r="E84" s="25"/>
      <c r="F84" s="25"/>
      <c r="G84" s="25"/>
      <c r="H84" s="26"/>
      <c r="I84" s="25"/>
      <c r="J84" s="27" t="str">
        <f aca="false">IF(OR(H84="",I84="",I84="Pending"),"",IF(I84="Win",IF(G84&gt;=100,H84*(G84/100),H84*(100/ABS(G84))),IF(I84="Loss",-H84,IF(I84="Push",0,""))))</f>
        <v/>
      </c>
      <c r="K84" s="26" t="str">
        <f aca="false">IF(H84="","",IF(K83="",K2,K83)+IF(J84="",0,J84))</f>
        <v/>
      </c>
      <c r="L84" s="28"/>
      <c r="M84" s="28"/>
    </row>
    <row r="85" customFormat="false" ht="18" hidden="false" customHeight="true" outlineLevel="0" collapsed="false">
      <c r="A85" s="29"/>
      <c r="B85" s="30"/>
      <c r="C85" s="30"/>
      <c r="D85" s="30"/>
      <c r="E85" s="30"/>
      <c r="F85" s="30"/>
      <c r="G85" s="30"/>
      <c r="H85" s="31"/>
      <c r="I85" s="30"/>
      <c r="J85" s="32" t="str">
        <f aca="false">IF(OR(H85="",I85="",I85="Pending"),"",IF(I85="Win",IF(G85&gt;=100,H85*(G85/100),H85*(100/ABS(G85))),IF(I85="Loss",-H85,IF(I85="Push",0,""))))</f>
        <v/>
      </c>
      <c r="K85" s="31" t="str">
        <f aca="false">IF(H85="","",IF(K84="",K2,K84)+IF(J85="",0,J85))</f>
        <v/>
      </c>
      <c r="L85" s="33"/>
      <c r="M85" s="33"/>
    </row>
    <row r="86" customFormat="false" ht="18" hidden="false" customHeight="true" outlineLevel="0" collapsed="false">
      <c r="A86" s="24"/>
      <c r="B86" s="25"/>
      <c r="C86" s="25"/>
      <c r="D86" s="25"/>
      <c r="E86" s="25"/>
      <c r="F86" s="25"/>
      <c r="G86" s="25"/>
      <c r="H86" s="26"/>
      <c r="I86" s="25"/>
      <c r="J86" s="27" t="str">
        <f aca="false">IF(OR(H86="",I86="",I86="Pending"),"",IF(I86="Win",IF(G86&gt;=100,H86*(G86/100),H86*(100/ABS(G86))),IF(I86="Loss",-H86,IF(I86="Push",0,""))))</f>
        <v/>
      </c>
      <c r="K86" s="26" t="str">
        <f aca="false">IF(H86="","",IF(K85="",K2,K85)+IF(J86="",0,J86))</f>
        <v/>
      </c>
      <c r="L86" s="28"/>
      <c r="M86" s="28"/>
    </row>
    <row r="87" customFormat="false" ht="18" hidden="false" customHeight="true" outlineLevel="0" collapsed="false">
      <c r="A87" s="29"/>
      <c r="B87" s="30"/>
      <c r="C87" s="30"/>
      <c r="D87" s="30"/>
      <c r="E87" s="30"/>
      <c r="F87" s="30"/>
      <c r="G87" s="30"/>
      <c r="H87" s="31"/>
      <c r="I87" s="30"/>
      <c r="J87" s="32" t="str">
        <f aca="false">IF(OR(H87="",I87="",I87="Pending"),"",IF(I87="Win",IF(G87&gt;=100,H87*(G87/100),H87*(100/ABS(G87))),IF(I87="Loss",-H87,IF(I87="Push",0,""))))</f>
        <v/>
      </c>
      <c r="K87" s="31" t="str">
        <f aca="false">IF(H87="","",IF(K86="",K2,K86)+IF(J87="",0,J87))</f>
        <v/>
      </c>
      <c r="L87" s="33"/>
      <c r="M87" s="33"/>
    </row>
    <row r="88" customFormat="false" ht="18" hidden="false" customHeight="true" outlineLevel="0" collapsed="false">
      <c r="A88" s="24"/>
      <c r="B88" s="25"/>
      <c r="C88" s="25"/>
      <c r="D88" s="25"/>
      <c r="E88" s="25"/>
      <c r="F88" s="25"/>
      <c r="G88" s="25"/>
      <c r="H88" s="26"/>
      <c r="I88" s="25"/>
      <c r="J88" s="27" t="str">
        <f aca="false">IF(OR(H88="",I88="",I88="Pending"),"",IF(I88="Win",IF(G88&gt;=100,H88*(G88/100),H88*(100/ABS(G88))),IF(I88="Loss",-H88,IF(I88="Push",0,""))))</f>
        <v/>
      </c>
      <c r="K88" s="26" t="str">
        <f aca="false">IF(H88="","",IF(K87="",K2,K87)+IF(J88="",0,J88))</f>
        <v/>
      </c>
      <c r="L88" s="28"/>
      <c r="M88" s="28"/>
    </row>
    <row r="89" customFormat="false" ht="18" hidden="false" customHeight="true" outlineLevel="0" collapsed="false">
      <c r="A89" s="29"/>
      <c r="B89" s="30"/>
      <c r="C89" s="30"/>
      <c r="D89" s="30"/>
      <c r="E89" s="30"/>
      <c r="F89" s="30"/>
      <c r="G89" s="30"/>
      <c r="H89" s="31"/>
      <c r="I89" s="30"/>
      <c r="J89" s="32" t="str">
        <f aca="false">IF(OR(H89="",I89="",I89="Pending"),"",IF(I89="Win",IF(G89&gt;=100,H89*(G89/100),H89*(100/ABS(G89))),IF(I89="Loss",-H89,IF(I89="Push",0,""))))</f>
        <v/>
      </c>
      <c r="K89" s="31" t="str">
        <f aca="false">IF(H89="","",IF(K88="",K2,K88)+IF(J89="",0,J89))</f>
        <v/>
      </c>
      <c r="L89" s="33"/>
      <c r="M89" s="33"/>
    </row>
    <row r="90" customFormat="false" ht="18" hidden="false" customHeight="true" outlineLevel="0" collapsed="false">
      <c r="A90" s="24"/>
      <c r="B90" s="25"/>
      <c r="C90" s="25"/>
      <c r="D90" s="25"/>
      <c r="E90" s="25"/>
      <c r="F90" s="25"/>
      <c r="G90" s="25"/>
      <c r="H90" s="26"/>
      <c r="I90" s="25"/>
      <c r="J90" s="27" t="str">
        <f aca="false">IF(OR(H90="",I90="",I90="Pending"),"",IF(I90="Win",IF(G90&gt;=100,H90*(G90/100),H90*(100/ABS(G90))),IF(I90="Loss",-H90,IF(I90="Push",0,""))))</f>
        <v/>
      </c>
      <c r="K90" s="26" t="str">
        <f aca="false">IF(H90="","",IF(K89="",K2,K89)+IF(J90="",0,J90))</f>
        <v/>
      </c>
      <c r="L90" s="28"/>
      <c r="M90" s="28"/>
    </row>
    <row r="91" customFormat="false" ht="18" hidden="false" customHeight="true" outlineLevel="0" collapsed="false">
      <c r="A91" s="29"/>
      <c r="B91" s="30"/>
      <c r="C91" s="30"/>
      <c r="D91" s="30"/>
      <c r="E91" s="30"/>
      <c r="F91" s="30"/>
      <c r="G91" s="30"/>
      <c r="H91" s="31"/>
      <c r="I91" s="30"/>
      <c r="J91" s="32" t="str">
        <f aca="false">IF(OR(H91="",I91="",I91="Pending"),"",IF(I91="Win",IF(G91&gt;=100,H91*(G91/100),H91*(100/ABS(G91))),IF(I91="Loss",-H91,IF(I91="Push",0,""))))</f>
        <v/>
      </c>
      <c r="K91" s="31" t="str">
        <f aca="false">IF(H91="","",IF(K90="",K2,K90)+IF(J91="",0,J91))</f>
        <v/>
      </c>
      <c r="L91" s="33"/>
      <c r="M91" s="33"/>
    </row>
    <row r="92" customFormat="false" ht="18" hidden="false" customHeight="true" outlineLevel="0" collapsed="false">
      <c r="A92" s="24"/>
      <c r="B92" s="25"/>
      <c r="C92" s="25"/>
      <c r="D92" s="25"/>
      <c r="E92" s="25"/>
      <c r="F92" s="25"/>
      <c r="G92" s="25"/>
      <c r="H92" s="26"/>
      <c r="I92" s="25"/>
      <c r="J92" s="27" t="str">
        <f aca="false">IF(OR(H92="",I92="",I92="Pending"),"",IF(I92="Win",IF(G92&gt;=100,H92*(G92/100),H92*(100/ABS(G92))),IF(I92="Loss",-H92,IF(I92="Push",0,""))))</f>
        <v/>
      </c>
      <c r="K92" s="26" t="str">
        <f aca="false">IF(H92="","",IF(K91="",K2,K91)+IF(J92="",0,J92))</f>
        <v/>
      </c>
      <c r="L92" s="28"/>
      <c r="M92" s="28"/>
    </row>
    <row r="93" customFormat="false" ht="18" hidden="false" customHeight="true" outlineLevel="0" collapsed="false">
      <c r="A93" s="29"/>
      <c r="B93" s="30"/>
      <c r="C93" s="30"/>
      <c r="D93" s="30"/>
      <c r="E93" s="30"/>
      <c r="F93" s="30"/>
      <c r="G93" s="30"/>
      <c r="H93" s="31"/>
      <c r="I93" s="30"/>
      <c r="J93" s="32" t="str">
        <f aca="false">IF(OR(H93="",I93="",I93="Pending"),"",IF(I93="Win",IF(G93&gt;=100,H93*(G93/100),H93*(100/ABS(G93))),IF(I93="Loss",-H93,IF(I93="Push",0,""))))</f>
        <v/>
      </c>
      <c r="K93" s="31" t="str">
        <f aca="false">IF(H93="","",IF(K92="",K2,K92)+IF(J93="",0,J93))</f>
        <v/>
      </c>
      <c r="L93" s="33"/>
      <c r="M93" s="33"/>
    </row>
    <row r="94" customFormat="false" ht="18" hidden="false" customHeight="true" outlineLevel="0" collapsed="false">
      <c r="A94" s="24"/>
      <c r="B94" s="25"/>
      <c r="C94" s="25"/>
      <c r="D94" s="25"/>
      <c r="E94" s="25"/>
      <c r="F94" s="25"/>
      <c r="G94" s="25"/>
      <c r="H94" s="26"/>
      <c r="I94" s="25"/>
      <c r="J94" s="27" t="str">
        <f aca="false">IF(OR(H94="",I94="",I94="Pending"),"",IF(I94="Win",IF(G94&gt;=100,H94*(G94/100),H94*(100/ABS(G94))),IF(I94="Loss",-H94,IF(I94="Push",0,""))))</f>
        <v/>
      </c>
      <c r="K94" s="26" t="str">
        <f aca="false">IF(H94="","",IF(K93="",K2,K93)+IF(J94="",0,J94))</f>
        <v/>
      </c>
      <c r="L94" s="28"/>
      <c r="M94" s="28"/>
    </row>
    <row r="95" customFormat="false" ht="18" hidden="false" customHeight="true" outlineLevel="0" collapsed="false">
      <c r="A95" s="29"/>
      <c r="B95" s="30"/>
      <c r="C95" s="30"/>
      <c r="D95" s="30"/>
      <c r="E95" s="30"/>
      <c r="F95" s="30"/>
      <c r="G95" s="30"/>
      <c r="H95" s="31"/>
      <c r="I95" s="30"/>
      <c r="J95" s="32" t="str">
        <f aca="false">IF(OR(H95="",I95="",I95="Pending"),"",IF(I95="Win",IF(G95&gt;=100,H95*(G95/100),H95*(100/ABS(G95))),IF(I95="Loss",-H95,IF(I95="Push",0,""))))</f>
        <v/>
      </c>
      <c r="K95" s="31" t="str">
        <f aca="false">IF(H95="","",IF(K94="",K2,K94)+IF(J95="",0,J95))</f>
        <v/>
      </c>
      <c r="L95" s="33"/>
      <c r="M95" s="33"/>
    </row>
    <row r="96" customFormat="false" ht="18" hidden="false" customHeight="true" outlineLevel="0" collapsed="false">
      <c r="A96" s="24"/>
      <c r="B96" s="25"/>
      <c r="C96" s="25"/>
      <c r="D96" s="25"/>
      <c r="E96" s="25"/>
      <c r="F96" s="25"/>
      <c r="G96" s="25"/>
      <c r="H96" s="26"/>
      <c r="I96" s="25"/>
      <c r="J96" s="27" t="str">
        <f aca="false">IF(OR(H96="",I96="",I96="Pending"),"",IF(I96="Win",IF(G96&gt;=100,H96*(G96/100),H96*(100/ABS(G96))),IF(I96="Loss",-H96,IF(I96="Push",0,""))))</f>
        <v/>
      </c>
      <c r="K96" s="26" t="str">
        <f aca="false">IF(H96="","",IF(K95="",K2,K95)+IF(J96="",0,J96))</f>
        <v/>
      </c>
      <c r="L96" s="28"/>
      <c r="M96" s="28"/>
    </row>
    <row r="97" customFormat="false" ht="18" hidden="false" customHeight="true" outlineLevel="0" collapsed="false">
      <c r="A97" s="29"/>
      <c r="B97" s="30"/>
      <c r="C97" s="30"/>
      <c r="D97" s="30"/>
      <c r="E97" s="30"/>
      <c r="F97" s="30"/>
      <c r="G97" s="30"/>
      <c r="H97" s="31"/>
      <c r="I97" s="30"/>
      <c r="J97" s="32" t="str">
        <f aca="false">IF(OR(H97="",I97="",I97="Pending"),"",IF(I97="Win",IF(G97&gt;=100,H97*(G97/100),H97*(100/ABS(G97))),IF(I97="Loss",-H97,IF(I97="Push",0,""))))</f>
        <v/>
      </c>
      <c r="K97" s="31" t="str">
        <f aca="false">IF(H97="","",IF(K96="",K2,K96)+IF(J97="",0,J97))</f>
        <v/>
      </c>
      <c r="L97" s="33"/>
      <c r="M97" s="33"/>
    </row>
    <row r="98" customFormat="false" ht="18" hidden="false" customHeight="true" outlineLevel="0" collapsed="false">
      <c r="A98" s="24"/>
      <c r="B98" s="25"/>
      <c r="C98" s="25"/>
      <c r="D98" s="25"/>
      <c r="E98" s="25"/>
      <c r="F98" s="25"/>
      <c r="G98" s="25"/>
      <c r="H98" s="26"/>
      <c r="I98" s="25"/>
      <c r="J98" s="27" t="str">
        <f aca="false">IF(OR(H98="",I98="",I98="Pending"),"",IF(I98="Win",IF(G98&gt;=100,H98*(G98/100),H98*(100/ABS(G98))),IF(I98="Loss",-H98,IF(I98="Push",0,""))))</f>
        <v/>
      </c>
      <c r="K98" s="26" t="str">
        <f aca="false">IF(H98="","",IF(K97="",K2,K97)+IF(J98="",0,J98))</f>
        <v/>
      </c>
      <c r="L98" s="28"/>
      <c r="M98" s="28"/>
    </row>
    <row r="99" customFormat="false" ht="18" hidden="false" customHeight="true" outlineLevel="0" collapsed="false">
      <c r="A99" s="29"/>
      <c r="B99" s="30"/>
      <c r="C99" s="30"/>
      <c r="D99" s="30"/>
      <c r="E99" s="30"/>
      <c r="F99" s="30"/>
      <c r="G99" s="30"/>
      <c r="H99" s="31"/>
      <c r="I99" s="30"/>
      <c r="J99" s="32" t="str">
        <f aca="false">IF(OR(H99="",I99="",I99="Pending"),"",IF(I99="Win",IF(G99&gt;=100,H99*(G99/100),H99*(100/ABS(G99))),IF(I99="Loss",-H99,IF(I99="Push",0,""))))</f>
        <v/>
      </c>
      <c r="K99" s="31" t="str">
        <f aca="false">IF(H99="","",IF(K98="",K2,K98)+IF(J99="",0,J99))</f>
        <v/>
      </c>
      <c r="L99" s="33"/>
      <c r="M99" s="33"/>
    </row>
    <row r="100" customFormat="false" ht="18" hidden="false" customHeight="true" outlineLevel="0" collapsed="false">
      <c r="A100" s="24"/>
      <c r="B100" s="25"/>
      <c r="C100" s="25"/>
      <c r="D100" s="25"/>
      <c r="E100" s="25"/>
      <c r="F100" s="25"/>
      <c r="G100" s="25"/>
      <c r="H100" s="26"/>
      <c r="I100" s="25"/>
      <c r="J100" s="27" t="str">
        <f aca="false">IF(OR(H100="",I100="",I100="Pending"),"",IF(I100="Win",IF(G100&gt;=100,H100*(G100/100),H100*(100/ABS(G100))),IF(I100="Loss",-H100,IF(I100="Push",0,""))))</f>
        <v/>
      </c>
      <c r="K100" s="26" t="str">
        <f aca="false">IF(H100="","",IF(K99="",K2,K99)+IF(J100="",0,J100))</f>
        <v/>
      </c>
      <c r="L100" s="28"/>
      <c r="M100" s="28"/>
    </row>
    <row r="101" customFormat="false" ht="18" hidden="false" customHeight="true" outlineLevel="0" collapsed="false">
      <c r="A101" s="29"/>
      <c r="B101" s="30"/>
      <c r="C101" s="30"/>
      <c r="D101" s="30"/>
      <c r="E101" s="30"/>
      <c r="F101" s="30"/>
      <c r="G101" s="30"/>
      <c r="H101" s="31"/>
      <c r="I101" s="30"/>
      <c r="J101" s="32" t="str">
        <f aca="false">IF(OR(H101="",I101="",I101="Pending"),"",IF(I101="Win",IF(G101&gt;=100,H101*(G101/100),H101*(100/ABS(G101))),IF(I101="Loss",-H101,IF(I101="Push",0,""))))</f>
        <v/>
      </c>
      <c r="K101" s="31" t="str">
        <f aca="false">IF(H101="","",IF(K100="",K2,K100)+IF(J101="",0,J101))</f>
        <v/>
      </c>
      <c r="L101" s="33"/>
      <c r="M101" s="33"/>
    </row>
    <row r="102" customFormat="false" ht="18" hidden="false" customHeight="true" outlineLevel="0" collapsed="false">
      <c r="A102" s="24"/>
      <c r="B102" s="25"/>
      <c r="C102" s="25"/>
      <c r="D102" s="25"/>
      <c r="E102" s="25"/>
      <c r="F102" s="25"/>
      <c r="G102" s="25"/>
      <c r="H102" s="26"/>
      <c r="I102" s="25"/>
      <c r="J102" s="27" t="str">
        <f aca="false">IF(OR(H102="",I102="",I102="Pending"),"",IF(I102="Win",IF(G102&gt;=100,H102*(G102/100),H102*(100/ABS(G102))),IF(I102="Loss",-H102,IF(I102="Push",0,""))))</f>
        <v/>
      </c>
      <c r="K102" s="26" t="str">
        <f aca="false">IF(H102="","",IF(K101="",K2,K101)+IF(J102="",0,J102))</f>
        <v/>
      </c>
      <c r="L102" s="28"/>
      <c r="M102" s="28"/>
    </row>
    <row r="103" customFormat="false" ht="18" hidden="false" customHeight="true" outlineLevel="0" collapsed="false">
      <c r="A103" s="29"/>
      <c r="B103" s="30"/>
      <c r="C103" s="30"/>
      <c r="D103" s="30"/>
      <c r="E103" s="30"/>
      <c r="F103" s="30"/>
      <c r="G103" s="30"/>
      <c r="H103" s="31"/>
      <c r="I103" s="30"/>
      <c r="J103" s="32" t="str">
        <f aca="false">IF(OR(H103="",I103="",I103="Pending"),"",IF(I103="Win",IF(G103&gt;=100,H103*(G103/100),H103*(100/ABS(G103))),IF(I103="Loss",-H103,IF(I103="Push",0,""))))</f>
        <v/>
      </c>
      <c r="K103" s="31" t="str">
        <f aca="false">IF(H103="","",IF(K102="",K2,K102)+IF(J103="",0,J103))</f>
        <v/>
      </c>
      <c r="L103" s="33"/>
      <c r="M103" s="33"/>
    </row>
    <row r="104" customFormat="false" ht="18" hidden="false" customHeight="true" outlineLevel="0" collapsed="false">
      <c r="A104" s="24"/>
      <c r="B104" s="25"/>
      <c r="C104" s="25"/>
      <c r="D104" s="25"/>
      <c r="E104" s="25"/>
      <c r="F104" s="25"/>
      <c r="G104" s="25"/>
      <c r="H104" s="26"/>
      <c r="I104" s="25"/>
      <c r="J104" s="27" t="str">
        <f aca="false">IF(OR(H104="",I104="",I104="Pending"),"",IF(I104="Win",IF(G104&gt;=100,H104*(G104/100),H104*(100/ABS(G104))),IF(I104="Loss",-H104,IF(I104="Push",0,""))))</f>
        <v/>
      </c>
      <c r="K104" s="26" t="str">
        <f aca="false">IF(H104="","",IF(K103="",K2,K103)+IF(J104="",0,J104))</f>
        <v/>
      </c>
      <c r="L104" s="28"/>
      <c r="M104" s="28"/>
    </row>
    <row r="105" customFormat="false" ht="18" hidden="false" customHeight="true" outlineLevel="0" collapsed="false">
      <c r="A105" s="29"/>
      <c r="B105" s="30"/>
      <c r="C105" s="30"/>
      <c r="D105" s="30"/>
      <c r="E105" s="30"/>
      <c r="F105" s="30"/>
      <c r="G105" s="30"/>
      <c r="H105" s="31"/>
      <c r="I105" s="30"/>
      <c r="J105" s="32" t="str">
        <f aca="false">IF(OR(H105="",I105="",I105="Pending"),"",IF(I105="Win",IF(G105&gt;=100,H105*(G105/100),H105*(100/ABS(G105))),IF(I105="Loss",-H105,IF(I105="Push",0,""))))</f>
        <v/>
      </c>
      <c r="K105" s="31" t="str">
        <f aca="false">IF(H105="","",IF(K104="",K2,K104)+IF(J105="",0,J105))</f>
        <v/>
      </c>
      <c r="L105" s="33"/>
      <c r="M105" s="33"/>
    </row>
    <row r="106" customFormat="false" ht="18" hidden="false" customHeight="true" outlineLevel="0" collapsed="false">
      <c r="A106" s="24"/>
      <c r="B106" s="25"/>
      <c r="C106" s="25"/>
      <c r="D106" s="25"/>
      <c r="E106" s="25"/>
      <c r="F106" s="25"/>
      <c r="G106" s="25"/>
      <c r="H106" s="26"/>
      <c r="I106" s="25"/>
      <c r="J106" s="27" t="str">
        <f aca="false">IF(OR(H106="",I106="",I106="Pending"),"",IF(I106="Win",IF(G106&gt;=100,H106*(G106/100),H106*(100/ABS(G106))),IF(I106="Loss",-H106,IF(I106="Push",0,""))))</f>
        <v/>
      </c>
      <c r="K106" s="26" t="str">
        <f aca="false">IF(H106="","",IF(K105="",K2,K105)+IF(J106="",0,J106))</f>
        <v/>
      </c>
      <c r="L106" s="28"/>
      <c r="M106" s="28"/>
    </row>
    <row r="107" customFormat="false" ht="18" hidden="false" customHeight="true" outlineLevel="0" collapsed="false">
      <c r="A107" s="29"/>
      <c r="B107" s="30"/>
      <c r="C107" s="30"/>
      <c r="D107" s="30"/>
      <c r="E107" s="30"/>
      <c r="F107" s="30"/>
      <c r="G107" s="30"/>
      <c r="H107" s="31"/>
      <c r="I107" s="30"/>
      <c r="J107" s="32" t="str">
        <f aca="false">IF(OR(H107="",I107="",I107="Pending"),"",IF(I107="Win",IF(G107&gt;=100,H107*(G107/100),H107*(100/ABS(G107))),IF(I107="Loss",-H107,IF(I107="Push",0,""))))</f>
        <v/>
      </c>
      <c r="K107" s="31" t="str">
        <f aca="false">IF(H107="","",IF(K106="",K2,K106)+IF(J107="",0,J107))</f>
        <v/>
      </c>
      <c r="L107" s="33"/>
      <c r="M107" s="33"/>
    </row>
    <row r="108" customFormat="false" ht="18" hidden="false" customHeight="true" outlineLevel="0" collapsed="false">
      <c r="A108" s="24"/>
      <c r="B108" s="25"/>
      <c r="C108" s="25"/>
      <c r="D108" s="25"/>
      <c r="E108" s="25"/>
      <c r="F108" s="25"/>
      <c r="G108" s="25"/>
      <c r="H108" s="26"/>
      <c r="I108" s="25"/>
      <c r="J108" s="27" t="str">
        <f aca="false">IF(OR(H108="",I108="",I108="Pending"),"",IF(I108="Win",IF(G108&gt;=100,H108*(G108/100),H108*(100/ABS(G108))),IF(I108="Loss",-H108,IF(I108="Push",0,""))))</f>
        <v/>
      </c>
      <c r="K108" s="26" t="str">
        <f aca="false">IF(H108="","",IF(K107="",K2,K107)+IF(J108="",0,J108))</f>
        <v/>
      </c>
      <c r="L108" s="28"/>
      <c r="M108" s="28"/>
    </row>
    <row r="109" customFormat="false" ht="18" hidden="false" customHeight="true" outlineLevel="0" collapsed="false">
      <c r="A109" s="29"/>
      <c r="B109" s="30"/>
      <c r="C109" s="30"/>
      <c r="D109" s="30"/>
      <c r="E109" s="30"/>
      <c r="F109" s="30"/>
      <c r="G109" s="30"/>
      <c r="H109" s="31"/>
      <c r="I109" s="30"/>
      <c r="J109" s="32" t="str">
        <f aca="false">IF(OR(H109="",I109="",I109="Pending"),"",IF(I109="Win",IF(G109&gt;=100,H109*(G109/100),H109*(100/ABS(G109))),IF(I109="Loss",-H109,IF(I109="Push",0,""))))</f>
        <v/>
      </c>
      <c r="K109" s="31" t="str">
        <f aca="false">IF(H109="","",IF(K108="",K2,K108)+IF(J109="",0,J109))</f>
        <v/>
      </c>
      <c r="L109" s="33"/>
      <c r="M109" s="33"/>
    </row>
    <row r="110" customFormat="false" ht="18" hidden="false" customHeight="true" outlineLevel="0" collapsed="false">
      <c r="A110" s="24"/>
      <c r="B110" s="25"/>
      <c r="C110" s="25"/>
      <c r="D110" s="25"/>
      <c r="E110" s="25"/>
      <c r="F110" s="25"/>
      <c r="G110" s="25"/>
      <c r="H110" s="26"/>
      <c r="I110" s="25"/>
      <c r="J110" s="27" t="str">
        <f aca="false">IF(OR(H110="",I110="",I110="Pending"),"",IF(I110="Win",IF(G110&gt;=100,H110*(G110/100),H110*(100/ABS(G110))),IF(I110="Loss",-H110,IF(I110="Push",0,""))))</f>
        <v/>
      </c>
      <c r="K110" s="26" t="str">
        <f aca="false">IF(H110="","",IF(K109="",K2,K109)+IF(J110="",0,J110))</f>
        <v/>
      </c>
      <c r="L110" s="28"/>
      <c r="M110" s="28"/>
    </row>
    <row r="111" customFormat="false" ht="18" hidden="false" customHeight="true" outlineLevel="0" collapsed="false">
      <c r="A111" s="29"/>
      <c r="B111" s="30"/>
      <c r="C111" s="30"/>
      <c r="D111" s="30"/>
      <c r="E111" s="30"/>
      <c r="F111" s="30"/>
      <c r="G111" s="30"/>
      <c r="H111" s="31"/>
      <c r="I111" s="30"/>
      <c r="J111" s="32" t="str">
        <f aca="false">IF(OR(H111="",I111="",I111="Pending"),"",IF(I111="Win",IF(G111&gt;=100,H111*(G111/100),H111*(100/ABS(G111))),IF(I111="Loss",-H111,IF(I111="Push",0,""))))</f>
        <v/>
      </c>
      <c r="K111" s="31" t="str">
        <f aca="false">IF(H111="","",IF(K110="",K2,K110)+IF(J111="",0,J111))</f>
        <v/>
      </c>
      <c r="L111" s="33"/>
      <c r="M111" s="33"/>
    </row>
    <row r="112" customFormat="false" ht="18" hidden="false" customHeight="true" outlineLevel="0" collapsed="false">
      <c r="A112" s="24"/>
      <c r="B112" s="25"/>
      <c r="C112" s="25"/>
      <c r="D112" s="25"/>
      <c r="E112" s="25"/>
      <c r="F112" s="25"/>
      <c r="G112" s="25"/>
      <c r="H112" s="26"/>
      <c r="I112" s="25"/>
      <c r="J112" s="27" t="str">
        <f aca="false">IF(OR(H112="",I112="",I112="Pending"),"",IF(I112="Win",IF(G112&gt;=100,H112*(G112/100),H112*(100/ABS(G112))),IF(I112="Loss",-H112,IF(I112="Push",0,""))))</f>
        <v/>
      </c>
      <c r="K112" s="26" t="str">
        <f aca="false">IF(H112="","",IF(K111="",K2,K111)+IF(J112="",0,J112))</f>
        <v/>
      </c>
      <c r="L112" s="28"/>
      <c r="M112" s="28"/>
    </row>
    <row r="113" customFormat="false" ht="18" hidden="false" customHeight="true" outlineLevel="0" collapsed="false">
      <c r="A113" s="29"/>
      <c r="B113" s="30"/>
      <c r="C113" s="30"/>
      <c r="D113" s="30"/>
      <c r="E113" s="30"/>
      <c r="F113" s="30"/>
      <c r="G113" s="30"/>
      <c r="H113" s="31"/>
      <c r="I113" s="30"/>
      <c r="J113" s="32" t="str">
        <f aca="false">IF(OR(H113="",I113="",I113="Pending"),"",IF(I113="Win",IF(G113&gt;=100,H113*(G113/100),H113*(100/ABS(G113))),IF(I113="Loss",-H113,IF(I113="Push",0,""))))</f>
        <v/>
      </c>
      <c r="K113" s="31" t="str">
        <f aca="false">IF(H113="","",IF(K112="",K2,K112)+IF(J113="",0,J113))</f>
        <v/>
      </c>
      <c r="L113" s="33"/>
      <c r="M113" s="33"/>
    </row>
    <row r="114" customFormat="false" ht="18" hidden="false" customHeight="true" outlineLevel="0" collapsed="false">
      <c r="A114" s="24"/>
      <c r="B114" s="25"/>
      <c r="C114" s="25"/>
      <c r="D114" s="25"/>
      <c r="E114" s="25"/>
      <c r="F114" s="25"/>
      <c r="G114" s="25"/>
      <c r="H114" s="26"/>
      <c r="I114" s="25"/>
      <c r="J114" s="27" t="str">
        <f aca="false">IF(OR(H114="",I114="",I114="Pending"),"",IF(I114="Win",IF(G114&gt;=100,H114*(G114/100),H114*(100/ABS(G114))),IF(I114="Loss",-H114,IF(I114="Push",0,""))))</f>
        <v/>
      </c>
      <c r="K114" s="26" t="str">
        <f aca="false">IF(H114="","",IF(K113="",K2,K113)+IF(J114="",0,J114))</f>
        <v/>
      </c>
      <c r="L114" s="28"/>
      <c r="M114" s="28"/>
    </row>
    <row r="115" customFormat="false" ht="18" hidden="false" customHeight="true" outlineLevel="0" collapsed="false">
      <c r="A115" s="29"/>
      <c r="B115" s="30"/>
      <c r="C115" s="30"/>
      <c r="D115" s="30"/>
      <c r="E115" s="30"/>
      <c r="F115" s="30"/>
      <c r="G115" s="30"/>
      <c r="H115" s="31"/>
      <c r="I115" s="30"/>
      <c r="J115" s="32" t="str">
        <f aca="false">IF(OR(H115="",I115="",I115="Pending"),"",IF(I115="Win",IF(G115&gt;=100,H115*(G115/100),H115*(100/ABS(G115))),IF(I115="Loss",-H115,IF(I115="Push",0,""))))</f>
        <v/>
      </c>
      <c r="K115" s="31" t="str">
        <f aca="false">IF(H115="","",IF(K114="",K2,K114)+IF(J115="",0,J115))</f>
        <v/>
      </c>
      <c r="L115" s="33"/>
      <c r="M115" s="33"/>
    </row>
    <row r="116" customFormat="false" ht="18" hidden="false" customHeight="true" outlineLevel="0" collapsed="false">
      <c r="A116" s="24"/>
      <c r="B116" s="25"/>
      <c r="C116" s="25"/>
      <c r="D116" s="25"/>
      <c r="E116" s="25"/>
      <c r="F116" s="25"/>
      <c r="G116" s="25"/>
      <c r="H116" s="26"/>
      <c r="I116" s="25"/>
      <c r="J116" s="27" t="str">
        <f aca="false">IF(OR(H116="",I116="",I116="Pending"),"",IF(I116="Win",IF(G116&gt;=100,H116*(G116/100),H116*(100/ABS(G116))),IF(I116="Loss",-H116,IF(I116="Push",0,""))))</f>
        <v/>
      </c>
      <c r="K116" s="26" t="str">
        <f aca="false">IF(H116="","",IF(K115="",K2,K115)+IF(J116="",0,J116))</f>
        <v/>
      </c>
      <c r="L116" s="28"/>
      <c r="M116" s="28"/>
    </row>
    <row r="117" customFormat="false" ht="18" hidden="false" customHeight="true" outlineLevel="0" collapsed="false">
      <c r="A117" s="29"/>
      <c r="B117" s="30"/>
      <c r="C117" s="30"/>
      <c r="D117" s="30"/>
      <c r="E117" s="30"/>
      <c r="F117" s="30"/>
      <c r="G117" s="30"/>
      <c r="H117" s="31"/>
      <c r="I117" s="30"/>
      <c r="J117" s="32" t="str">
        <f aca="false">IF(OR(H117="",I117="",I117="Pending"),"",IF(I117="Win",IF(G117&gt;=100,H117*(G117/100),H117*(100/ABS(G117))),IF(I117="Loss",-H117,IF(I117="Push",0,""))))</f>
        <v/>
      </c>
      <c r="K117" s="31" t="str">
        <f aca="false">IF(H117="","",IF(K116="",K2,K116)+IF(J117="",0,J117))</f>
        <v/>
      </c>
      <c r="L117" s="33"/>
      <c r="M117" s="33"/>
    </row>
    <row r="118" customFormat="false" ht="18" hidden="false" customHeight="true" outlineLevel="0" collapsed="false">
      <c r="A118" s="24"/>
      <c r="B118" s="25"/>
      <c r="C118" s="25"/>
      <c r="D118" s="25"/>
      <c r="E118" s="25"/>
      <c r="F118" s="25"/>
      <c r="G118" s="25"/>
      <c r="H118" s="26"/>
      <c r="I118" s="25"/>
      <c r="J118" s="27" t="str">
        <f aca="false">IF(OR(H118="",I118="",I118="Pending"),"",IF(I118="Win",IF(G118&gt;=100,H118*(G118/100),H118*(100/ABS(G118))),IF(I118="Loss",-H118,IF(I118="Push",0,""))))</f>
        <v/>
      </c>
      <c r="K118" s="26" t="str">
        <f aca="false">IF(H118="","",IF(K117="",K2,K117)+IF(J118="",0,J118))</f>
        <v/>
      </c>
      <c r="L118" s="28"/>
      <c r="M118" s="28"/>
    </row>
    <row r="119" customFormat="false" ht="18" hidden="false" customHeight="true" outlineLevel="0" collapsed="false">
      <c r="A119" s="29"/>
      <c r="B119" s="30"/>
      <c r="C119" s="30"/>
      <c r="D119" s="30"/>
      <c r="E119" s="30"/>
      <c r="F119" s="30"/>
      <c r="G119" s="30"/>
      <c r="H119" s="31"/>
      <c r="I119" s="30"/>
      <c r="J119" s="32" t="str">
        <f aca="false">IF(OR(H119="",I119="",I119="Pending"),"",IF(I119="Win",IF(G119&gt;=100,H119*(G119/100),H119*(100/ABS(G119))),IF(I119="Loss",-H119,IF(I119="Push",0,""))))</f>
        <v/>
      </c>
      <c r="K119" s="31" t="str">
        <f aca="false">IF(H119="","",IF(K118="",K2,K118)+IF(J119="",0,J119))</f>
        <v/>
      </c>
      <c r="L119" s="33"/>
      <c r="M119" s="33"/>
    </row>
    <row r="120" customFormat="false" ht="18" hidden="false" customHeight="true" outlineLevel="0" collapsed="false">
      <c r="A120" s="24"/>
      <c r="B120" s="25"/>
      <c r="C120" s="25"/>
      <c r="D120" s="25"/>
      <c r="E120" s="25"/>
      <c r="F120" s="25"/>
      <c r="G120" s="25"/>
      <c r="H120" s="26"/>
      <c r="I120" s="25"/>
      <c r="J120" s="27" t="str">
        <f aca="false">IF(OR(H120="",I120="",I120="Pending"),"",IF(I120="Win",IF(G120&gt;=100,H120*(G120/100),H120*(100/ABS(G120))),IF(I120="Loss",-H120,IF(I120="Push",0,""))))</f>
        <v/>
      </c>
      <c r="K120" s="26" t="str">
        <f aca="false">IF(H120="","",IF(K119="",K2,K119)+IF(J120="",0,J120))</f>
        <v/>
      </c>
      <c r="L120" s="28"/>
      <c r="M120" s="28"/>
    </row>
    <row r="121" customFormat="false" ht="18" hidden="false" customHeight="true" outlineLevel="0" collapsed="false">
      <c r="A121" s="29"/>
      <c r="B121" s="30"/>
      <c r="C121" s="30"/>
      <c r="D121" s="30"/>
      <c r="E121" s="30"/>
      <c r="F121" s="30"/>
      <c r="G121" s="30"/>
      <c r="H121" s="31"/>
      <c r="I121" s="30"/>
      <c r="J121" s="32" t="str">
        <f aca="false">IF(OR(H121="",I121="",I121="Pending"),"",IF(I121="Win",IF(G121&gt;=100,H121*(G121/100),H121*(100/ABS(G121))),IF(I121="Loss",-H121,IF(I121="Push",0,""))))</f>
        <v/>
      </c>
      <c r="K121" s="31" t="str">
        <f aca="false">IF(H121="","",IF(K120="",K2,K120)+IF(J121="",0,J121))</f>
        <v/>
      </c>
      <c r="L121" s="33"/>
      <c r="M121" s="33"/>
    </row>
    <row r="122" customFormat="false" ht="18" hidden="false" customHeight="true" outlineLevel="0" collapsed="false">
      <c r="A122" s="24"/>
      <c r="B122" s="25"/>
      <c r="C122" s="25"/>
      <c r="D122" s="25"/>
      <c r="E122" s="25"/>
      <c r="F122" s="25"/>
      <c r="G122" s="25"/>
      <c r="H122" s="26"/>
      <c r="I122" s="25"/>
      <c r="J122" s="27" t="str">
        <f aca="false">IF(OR(H122="",I122="",I122="Pending"),"",IF(I122="Win",IF(G122&gt;=100,H122*(G122/100),H122*(100/ABS(G122))),IF(I122="Loss",-H122,IF(I122="Push",0,""))))</f>
        <v/>
      </c>
      <c r="K122" s="26" t="str">
        <f aca="false">IF(H122="","",IF(K121="",K2,K121)+IF(J122="",0,J122))</f>
        <v/>
      </c>
      <c r="L122" s="28"/>
      <c r="M122" s="28"/>
    </row>
    <row r="123" customFormat="false" ht="18" hidden="false" customHeight="true" outlineLevel="0" collapsed="false">
      <c r="A123" s="29"/>
      <c r="B123" s="30"/>
      <c r="C123" s="30"/>
      <c r="D123" s="30"/>
      <c r="E123" s="30"/>
      <c r="F123" s="30"/>
      <c r="G123" s="30"/>
      <c r="H123" s="31"/>
      <c r="I123" s="30"/>
      <c r="J123" s="32" t="str">
        <f aca="false">IF(OR(H123="",I123="",I123="Pending"),"",IF(I123="Win",IF(G123&gt;=100,H123*(G123/100),H123*(100/ABS(G123))),IF(I123="Loss",-H123,IF(I123="Push",0,""))))</f>
        <v/>
      </c>
      <c r="K123" s="31" t="str">
        <f aca="false">IF(H123="","",IF(K122="",K2,K122)+IF(J123="",0,J123))</f>
        <v/>
      </c>
      <c r="L123" s="33"/>
      <c r="M123" s="33"/>
    </row>
    <row r="124" customFormat="false" ht="18" hidden="false" customHeight="true" outlineLevel="0" collapsed="false">
      <c r="A124" s="24"/>
      <c r="B124" s="25"/>
      <c r="C124" s="25"/>
      <c r="D124" s="25"/>
      <c r="E124" s="25"/>
      <c r="F124" s="25"/>
      <c r="G124" s="25"/>
      <c r="H124" s="26"/>
      <c r="I124" s="25"/>
      <c r="J124" s="27" t="str">
        <f aca="false">IF(OR(H124="",I124="",I124="Pending"),"",IF(I124="Win",IF(G124&gt;=100,H124*(G124/100),H124*(100/ABS(G124))),IF(I124="Loss",-H124,IF(I124="Push",0,""))))</f>
        <v/>
      </c>
      <c r="K124" s="26" t="str">
        <f aca="false">IF(H124="","",IF(K123="",K2,K123)+IF(J124="",0,J124))</f>
        <v/>
      </c>
      <c r="L124" s="28"/>
      <c r="M124" s="28"/>
    </row>
    <row r="125" customFormat="false" ht="18" hidden="false" customHeight="true" outlineLevel="0" collapsed="false">
      <c r="A125" s="29"/>
      <c r="B125" s="30"/>
      <c r="C125" s="30"/>
      <c r="D125" s="30"/>
      <c r="E125" s="30"/>
      <c r="F125" s="30"/>
      <c r="G125" s="30"/>
      <c r="H125" s="31"/>
      <c r="I125" s="30"/>
      <c r="J125" s="32" t="str">
        <f aca="false">IF(OR(H125="",I125="",I125="Pending"),"",IF(I125="Win",IF(G125&gt;=100,H125*(G125/100),H125*(100/ABS(G125))),IF(I125="Loss",-H125,IF(I125="Push",0,""))))</f>
        <v/>
      </c>
      <c r="K125" s="31" t="str">
        <f aca="false">IF(H125="","",IF(K124="",K2,K124)+IF(J125="",0,J125))</f>
        <v/>
      </c>
      <c r="L125" s="33"/>
      <c r="M125" s="33"/>
    </row>
    <row r="126" customFormat="false" ht="18" hidden="false" customHeight="true" outlineLevel="0" collapsed="false">
      <c r="A126" s="24"/>
      <c r="B126" s="25"/>
      <c r="C126" s="25"/>
      <c r="D126" s="25"/>
      <c r="E126" s="25"/>
      <c r="F126" s="25"/>
      <c r="G126" s="25"/>
      <c r="H126" s="26"/>
      <c r="I126" s="25"/>
      <c r="J126" s="27" t="str">
        <f aca="false">IF(OR(H126="",I126="",I126="Pending"),"",IF(I126="Win",IF(G126&gt;=100,H126*(G126/100),H126*(100/ABS(G126))),IF(I126="Loss",-H126,IF(I126="Push",0,""))))</f>
        <v/>
      </c>
      <c r="K126" s="26" t="str">
        <f aca="false">IF(H126="","",IF(K125="",K2,K125)+IF(J126="",0,J126))</f>
        <v/>
      </c>
      <c r="L126" s="28"/>
      <c r="M126" s="28"/>
    </row>
    <row r="127" customFormat="false" ht="18" hidden="false" customHeight="true" outlineLevel="0" collapsed="false">
      <c r="A127" s="29"/>
      <c r="B127" s="30"/>
      <c r="C127" s="30"/>
      <c r="D127" s="30"/>
      <c r="E127" s="30"/>
      <c r="F127" s="30"/>
      <c r="G127" s="30"/>
      <c r="H127" s="31"/>
      <c r="I127" s="30"/>
      <c r="J127" s="32" t="str">
        <f aca="false">IF(OR(H127="",I127="",I127="Pending"),"",IF(I127="Win",IF(G127&gt;=100,H127*(G127/100),H127*(100/ABS(G127))),IF(I127="Loss",-H127,IF(I127="Push",0,""))))</f>
        <v/>
      </c>
      <c r="K127" s="31" t="str">
        <f aca="false">IF(H127="","",IF(K126="",K2,K126)+IF(J127="",0,J127))</f>
        <v/>
      </c>
      <c r="L127" s="33"/>
      <c r="M127" s="33"/>
    </row>
    <row r="128" customFormat="false" ht="18" hidden="false" customHeight="true" outlineLevel="0" collapsed="false">
      <c r="A128" s="24"/>
      <c r="B128" s="25"/>
      <c r="C128" s="25"/>
      <c r="D128" s="25"/>
      <c r="E128" s="25"/>
      <c r="F128" s="25"/>
      <c r="G128" s="25"/>
      <c r="H128" s="26"/>
      <c r="I128" s="25"/>
      <c r="J128" s="27" t="str">
        <f aca="false">IF(OR(H128="",I128="",I128="Pending"),"",IF(I128="Win",IF(G128&gt;=100,H128*(G128/100),H128*(100/ABS(G128))),IF(I128="Loss",-H128,IF(I128="Push",0,""))))</f>
        <v/>
      </c>
      <c r="K128" s="26" t="str">
        <f aca="false">IF(H128="","",IF(K127="",K2,K127)+IF(J128="",0,J128))</f>
        <v/>
      </c>
      <c r="L128" s="28"/>
      <c r="M128" s="28"/>
    </row>
    <row r="129" customFormat="false" ht="18" hidden="false" customHeight="true" outlineLevel="0" collapsed="false">
      <c r="A129" s="29"/>
      <c r="B129" s="30"/>
      <c r="C129" s="30"/>
      <c r="D129" s="30"/>
      <c r="E129" s="30"/>
      <c r="F129" s="30"/>
      <c r="G129" s="30"/>
      <c r="H129" s="31"/>
      <c r="I129" s="30"/>
      <c r="J129" s="32" t="str">
        <f aca="false">IF(OR(H129="",I129="",I129="Pending"),"",IF(I129="Win",IF(G129&gt;=100,H129*(G129/100),H129*(100/ABS(G129))),IF(I129="Loss",-H129,IF(I129="Push",0,""))))</f>
        <v/>
      </c>
      <c r="K129" s="31" t="str">
        <f aca="false">IF(H129="","",IF(K128="",K2,K128)+IF(J129="",0,J129))</f>
        <v/>
      </c>
      <c r="L129" s="33"/>
      <c r="M129" s="33"/>
    </row>
    <row r="130" customFormat="false" ht="18" hidden="false" customHeight="true" outlineLevel="0" collapsed="false">
      <c r="A130" s="24"/>
      <c r="B130" s="25"/>
      <c r="C130" s="25"/>
      <c r="D130" s="25"/>
      <c r="E130" s="25"/>
      <c r="F130" s="25"/>
      <c r="G130" s="25"/>
      <c r="H130" s="26"/>
      <c r="I130" s="25"/>
      <c r="J130" s="27" t="str">
        <f aca="false">IF(OR(H130="",I130="",I130="Pending"),"",IF(I130="Win",IF(G130&gt;=100,H130*(G130/100),H130*(100/ABS(G130))),IF(I130="Loss",-H130,IF(I130="Push",0,""))))</f>
        <v/>
      </c>
      <c r="K130" s="26" t="str">
        <f aca="false">IF(H130="","",IF(K129="",K2,K129)+IF(J130="",0,J130))</f>
        <v/>
      </c>
      <c r="L130" s="28"/>
      <c r="M130" s="28"/>
    </row>
    <row r="131" customFormat="false" ht="18" hidden="false" customHeight="true" outlineLevel="0" collapsed="false">
      <c r="A131" s="29"/>
      <c r="B131" s="30"/>
      <c r="C131" s="30"/>
      <c r="D131" s="30"/>
      <c r="E131" s="30"/>
      <c r="F131" s="30"/>
      <c r="G131" s="30"/>
      <c r="H131" s="31"/>
      <c r="I131" s="30"/>
      <c r="J131" s="32" t="str">
        <f aca="false">IF(OR(H131="",I131="",I131="Pending"),"",IF(I131="Win",IF(G131&gt;=100,H131*(G131/100),H131*(100/ABS(G131))),IF(I131="Loss",-H131,IF(I131="Push",0,""))))</f>
        <v/>
      </c>
      <c r="K131" s="31" t="str">
        <f aca="false">IF(H131="","",IF(K130="",K2,K130)+IF(J131="",0,J131))</f>
        <v/>
      </c>
      <c r="L131" s="33"/>
      <c r="M131" s="33"/>
    </row>
    <row r="132" customFormat="false" ht="18" hidden="false" customHeight="true" outlineLevel="0" collapsed="false">
      <c r="A132" s="24"/>
      <c r="B132" s="25"/>
      <c r="C132" s="25"/>
      <c r="D132" s="25"/>
      <c r="E132" s="25"/>
      <c r="F132" s="25"/>
      <c r="G132" s="25"/>
      <c r="H132" s="26"/>
      <c r="I132" s="25"/>
      <c r="J132" s="27" t="str">
        <f aca="false">IF(OR(H132="",I132="",I132="Pending"),"",IF(I132="Win",IF(G132&gt;=100,H132*(G132/100),H132*(100/ABS(G132))),IF(I132="Loss",-H132,IF(I132="Push",0,""))))</f>
        <v/>
      </c>
      <c r="K132" s="26" t="str">
        <f aca="false">IF(H132="","",IF(K131="",K2,K131)+IF(J132="",0,J132))</f>
        <v/>
      </c>
      <c r="L132" s="28"/>
      <c r="M132" s="28"/>
    </row>
    <row r="133" customFormat="false" ht="18" hidden="false" customHeight="true" outlineLevel="0" collapsed="false">
      <c r="A133" s="29"/>
      <c r="B133" s="30"/>
      <c r="C133" s="30"/>
      <c r="D133" s="30"/>
      <c r="E133" s="30"/>
      <c r="F133" s="30"/>
      <c r="G133" s="30"/>
      <c r="H133" s="31"/>
      <c r="I133" s="30"/>
      <c r="J133" s="32" t="str">
        <f aca="false">IF(OR(H133="",I133="",I133="Pending"),"",IF(I133="Win",IF(G133&gt;=100,H133*(G133/100),H133*(100/ABS(G133))),IF(I133="Loss",-H133,IF(I133="Push",0,""))))</f>
        <v/>
      </c>
      <c r="K133" s="31" t="str">
        <f aca="false">IF(H133="","",IF(K132="",K2,K132)+IF(J133="",0,J133))</f>
        <v/>
      </c>
      <c r="L133" s="33"/>
      <c r="M133" s="33"/>
    </row>
    <row r="134" customFormat="false" ht="18" hidden="false" customHeight="true" outlineLevel="0" collapsed="false">
      <c r="A134" s="24"/>
      <c r="B134" s="25"/>
      <c r="C134" s="25"/>
      <c r="D134" s="25"/>
      <c r="E134" s="25"/>
      <c r="F134" s="25"/>
      <c r="G134" s="25"/>
      <c r="H134" s="26"/>
      <c r="I134" s="25"/>
      <c r="J134" s="27" t="str">
        <f aca="false">IF(OR(H134="",I134="",I134="Pending"),"",IF(I134="Win",IF(G134&gt;=100,H134*(G134/100),H134*(100/ABS(G134))),IF(I134="Loss",-H134,IF(I134="Push",0,""))))</f>
        <v/>
      </c>
      <c r="K134" s="26" t="str">
        <f aca="false">IF(H134="","",IF(K133="",K2,K133)+IF(J134="",0,J134))</f>
        <v/>
      </c>
      <c r="L134" s="28"/>
      <c r="M134" s="28"/>
    </row>
    <row r="135" customFormat="false" ht="18" hidden="false" customHeight="true" outlineLevel="0" collapsed="false">
      <c r="A135" s="29"/>
      <c r="B135" s="30"/>
      <c r="C135" s="30"/>
      <c r="D135" s="30"/>
      <c r="E135" s="30"/>
      <c r="F135" s="30"/>
      <c r="G135" s="30"/>
      <c r="H135" s="31"/>
      <c r="I135" s="30"/>
      <c r="J135" s="32" t="str">
        <f aca="false">IF(OR(H135="",I135="",I135="Pending"),"",IF(I135="Win",IF(G135&gt;=100,H135*(G135/100),H135*(100/ABS(G135))),IF(I135="Loss",-H135,IF(I135="Push",0,""))))</f>
        <v/>
      </c>
      <c r="K135" s="31" t="str">
        <f aca="false">IF(H135="","",IF(K134="",K2,K134)+IF(J135="",0,J135))</f>
        <v/>
      </c>
      <c r="L135" s="33"/>
      <c r="M135" s="33"/>
    </row>
    <row r="136" customFormat="false" ht="18" hidden="false" customHeight="true" outlineLevel="0" collapsed="false">
      <c r="A136" s="24"/>
      <c r="B136" s="25"/>
      <c r="C136" s="25"/>
      <c r="D136" s="25"/>
      <c r="E136" s="25"/>
      <c r="F136" s="25"/>
      <c r="G136" s="25"/>
      <c r="H136" s="26"/>
      <c r="I136" s="25"/>
      <c r="J136" s="27" t="str">
        <f aca="false">IF(OR(H136="",I136="",I136="Pending"),"",IF(I136="Win",IF(G136&gt;=100,H136*(G136/100),H136*(100/ABS(G136))),IF(I136="Loss",-H136,IF(I136="Push",0,""))))</f>
        <v/>
      </c>
      <c r="K136" s="26" t="str">
        <f aca="false">IF(H136="","",IF(K135="",K2,K135)+IF(J136="",0,J136))</f>
        <v/>
      </c>
      <c r="L136" s="28"/>
      <c r="M136" s="28"/>
    </row>
    <row r="137" customFormat="false" ht="18" hidden="false" customHeight="true" outlineLevel="0" collapsed="false">
      <c r="A137" s="29"/>
      <c r="B137" s="30"/>
      <c r="C137" s="30"/>
      <c r="D137" s="30"/>
      <c r="E137" s="30"/>
      <c r="F137" s="30"/>
      <c r="G137" s="30"/>
      <c r="H137" s="31"/>
      <c r="I137" s="30"/>
      <c r="J137" s="32" t="str">
        <f aca="false">IF(OR(H137="",I137="",I137="Pending"),"",IF(I137="Win",IF(G137&gt;=100,H137*(G137/100),H137*(100/ABS(G137))),IF(I137="Loss",-H137,IF(I137="Push",0,""))))</f>
        <v/>
      </c>
      <c r="K137" s="31" t="str">
        <f aca="false">IF(H137="","",IF(K136="",K2,K136)+IF(J137="",0,J137))</f>
        <v/>
      </c>
      <c r="L137" s="33"/>
      <c r="M137" s="33"/>
    </row>
    <row r="138" customFormat="false" ht="18" hidden="false" customHeight="true" outlineLevel="0" collapsed="false">
      <c r="A138" s="24"/>
      <c r="B138" s="25"/>
      <c r="C138" s="25"/>
      <c r="D138" s="25"/>
      <c r="E138" s="25"/>
      <c r="F138" s="25"/>
      <c r="G138" s="25"/>
      <c r="H138" s="26"/>
      <c r="I138" s="25"/>
      <c r="J138" s="27" t="str">
        <f aca="false">IF(OR(H138="",I138="",I138="Pending"),"",IF(I138="Win",IF(G138&gt;=100,H138*(G138/100),H138*(100/ABS(G138))),IF(I138="Loss",-H138,IF(I138="Push",0,""))))</f>
        <v/>
      </c>
      <c r="K138" s="26" t="str">
        <f aca="false">IF(H138="","",IF(K137="",K2,K137)+IF(J138="",0,J138))</f>
        <v/>
      </c>
      <c r="L138" s="28"/>
      <c r="M138" s="28"/>
    </row>
    <row r="139" customFormat="false" ht="18" hidden="false" customHeight="true" outlineLevel="0" collapsed="false">
      <c r="A139" s="29"/>
      <c r="B139" s="30"/>
      <c r="C139" s="30"/>
      <c r="D139" s="30"/>
      <c r="E139" s="30"/>
      <c r="F139" s="30"/>
      <c r="G139" s="30"/>
      <c r="H139" s="31"/>
      <c r="I139" s="30"/>
      <c r="J139" s="32" t="str">
        <f aca="false">IF(OR(H139="",I139="",I139="Pending"),"",IF(I139="Win",IF(G139&gt;=100,H139*(G139/100),H139*(100/ABS(G139))),IF(I139="Loss",-H139,IF(I139="Push",0,""))))</f>
        <v/>
      </c>
      <c r="K139" s="31" t="str">
        <f aca="false">IF(H139="","",IF(K138="",K2,K138)+IF(J139="",0,J139))</f>
        <v/>
      </c>
      <c r="L139" s="33"/>
      <c r="M139" s="33"/>
    </row>
    <row r="140" customFormat="false" ht="18" hidden="false" customHeight="true" outlineLevel="0" collapsed="false">
      <c r="A140" s="24"/>
      <c r="B140" s="25"/>
      <c r="C140" s="25"/>
      <c r="D140" s="25"/>
      <c r="E140" s="25"/>
      <c r="F140" s="25"/>
      <c r="G140" s="25"/>
      <c r="H140" s="26"/>
      <c r="I140" s="25"/>
      <c r="J140" s="27" t="str">
        <f aca="false">IF(OR(H140="",I140="",I140="Pending"),"",IF(I140="Win",IF(G140&gt;=100,H140*(G140/100),H140*(100/ABS(G140))),IF(I140="Loss",-H140,IF(I140="Push",0,""))))</f>
        <v/>
      </c>
      <c r="K140" s="26" t="str">
        <f aca="false">IF(H140="","",IF(K139="",K2,K139)+IF(J140="",0,J140))</f>
        <v/>
      </c>
      <c r="L140" s="28"/>
      <c r="M140" s="28"/>
    </row>
    <row r="141" customFormat="false" ht="18" hidden="false" customHeight="true" outlineLevel="0" collapsed="false">
      <c r="A141" s="29"/>
      <c r="B141" s="30"/>
      <c r="C141" s="30"/>
      <c r="D141" s="30"/>
      <c r="E141" s="30"/>
      <c r="F141" s="30"/>
      <c r="G141" s="30"/>
      <c r="H141" s="31"/>
      <c r="I141" s="30"/>
      <c r="J141" s="32" t="str">
        <f aca="false">IF(OR(H141="",I141="",I141="Pending"),"",IF(I141="Win",IF(G141&gt;=100,H141*(G141/100),H141*(100/ABS(G141))),IF(I141="Loss",-H141,IF(I141="Push",0,""))))</f>
        <v/>
      </c>
      <c r="K141" s="31" t="str">
        <f aca="false">IF(H141="","",IF(K140="",K2,K140)+IF(J141="",0,J141))</f>
        <v/>
      </c>
      <c r="L141" s="33"/>
      <c r="M141" s="33"/>
    </row>
    <row r="142" customFormat="false" ht="18" hidden="false" customHeight="true" outlineLevel="0" collapsed="false">
      <c r="A142" s="24"/>
      <c r="B142" s="25"/>
      <c r="C142" s="25"/>
      <c r="D142" s="25"/>
      <c r="E142" s="25"/>
      <c r="F142" s="25"/>
      <c r="G142" s="25"/>
      <c r="H142" s="26"/>
      <c r="I142" s="25"/>
      <c r="J142" s="27" t="str">
        <f aca="false">IF(OR(H142="",I142="",I142="Pending"),"",IF(I142="Win",IF(G142&gt;=100,H142*(G142/100),H142*(100/ABS(G142))),IF(I142="Loss",-H142,IF(I142="Push",0,""))))</f>
        <v/>
      </c>
      <c r="K142" s="26" t="str">
        <f aca="false">IF(H142="","",IF(K141="",K2,K141)+IF(J142="",0,J142))</f>
        <v/>
      </c>
      <c r="L142" s="28"/>
      <c r="M142" s="28"/>
    </row>
    <row r="143" customFormat="false" ht="18" hidden="false" customHeight="true" outlineLevel="0" collapsed="false">
      <c r="A143" s="29"/>
      <c r="B143" s="30"/>
      <c r="C143" s="30"/>
      <c r="D143" s="30"/>
      <c r="E143" s="30"/>
      <c r="F143" s="30"/>
      <c r="G143" s="30"/>
      <c r="H143" s="31"/>
      <c r="I143" s="30"/>
      <c r="J143" s="32" t="str">
        <f aca="false">IF(OR(H143="",I143="",I143="Pending"),"",IF(I143="Win",IF(G143&gt;=100,H143*(G143/100),H143*(100/ABS(G143))),IF(I143="Loss",-H143,IF(I143="Push",0,""))))</f>
        <v/>
      </c>
      <c r="K143" s="31" t="str">
        <f aca="false">IF(H143="","",IF(K142="",K2,K142)+IF(J143="",0,J143))</f>
        <v/>
      </c>
      <c r="L143" s="33"/>
      <c r="M143" s="33"/>
    </row>
    <row r="144" customFormat="false" ht="18" hidden="false" customHeight="true" outlineLevel="0" collapsed="false">
      <c r="A144" s="24"/>
      <c r="B144" s="25"/>
      <c r="C144" s="25"/>
      <c r="D144" s="25"/>
      <c r="E144" s="25"/>
      <c r="F144" s="25"/>
      <c r="G144" s="25"/>
      <c r="H144" s="26"/>
      <c r="I144" s="25"/>
      <c r="J144" s="27" t="str">
        <f aca="false">IF(OR(H144="",I144="",I144="Pending"),"",IF(I144="Win",IF(G144&gt;=100,H144*(G144/100),H144*(100/ABS(G144))),IF(I144="Loss",-H144,IF(I144="Push",0,""))))</f>
        <v/>
      </c>
      <c r="K144" s="26" t="str">
        <f aca="false">IF(H144="","",IF(K143="",K2,K143)+IF(J144="",0,J144))</f>
        <v/>
      </c>
      <c r="L144" s="28"/>
      <c r="M144" s="28"/>
    </row>
    <row r="145" customFormat="false" ht="18" hidden="false" customHeight="true" outlineLevel="0" collapsed="false">
      <c r="A145" s="29"/>
      <c r="B145" s="30"/>
      <c r="C145" s="30"/>
      <c r="D145" s="30"/>
      <c r="E145" s="30"/>
      <c r="F145" s="30"/>
      <c r="G145" s="30"/>
      <c r="H145" s="31"/>
      <c r="I145" s="30"/>
      <c r="J145" s="32" t="str">
        <f aca="false">IF(OR(H145="",I145="",I145="Pending"),"",IF(I145="Win",IF(G145&gt;=100,H145*(G145/100),H145*(100/ABS(G145))),IF(I145="Loss",-H145,IF(I145="Push",0,""))))</f>
        <v/>
      </c>
      <c r="K145" s="31" t="str">
        <f aca="false">IF(H145="","",IF(K144="",K2,K144)+IF(J145="",0,J145))</f>
        <v/>
      </c>
      <c r="L145" s="33"/>
      <c r="M145" s="33"/>
    </row>
    <row r="146" customFormat="false" ht="18" hidden="false" customHeight="true" outlineLevel="0" collapsed="false">
      <c r="A146" s="24"/>
      <c r="B146" s="25"/>
      <c r="C146" s="25"/>
      <c r="D146" s="25"/>
      <c r="E146" s="25"/>
      <c r="F146" s="25"/>
      <c r="G146" s="25"/>
      <c r="H146" s="26"/>
      <c r="I146" s="25"/>
      <c r="J146" s="27" t="str">
        <f aca="false">IF(OR(H146="",I146="",I146="Pending"),"",IF(I146="Win",IF(G146&gt;=100,H146*(G146/100),H146*(100/ABS(G146))),IF(I146="Loss",-H146,IF(I146="Push",0,""))))</f>
        <v/>
      </c>
      <c r="K146" s="26" t="str">
        <f aca="false">IF(H146="","",IF(K145="",K2,K145)+IF(J146="",0,J146))</f>
        <v/>
      </c>
      <c r="L146" s="28"/>
      <c r="M146" s="28"/>
    </row>
    <row r="147" customFormat="false" ht="18" hidden="false" customHeight="true" outlineLevel="0" collapsed="false">
      <c r="A147" s="29"/>
      <c r="B147" s="30"/>
      <c r="C147" s="30"/>
      <c r="D147" s="30"/>
      <c r="E147" s="30"/>
      <c r="F147" s="30"/>
      <c r="G147" s="30"/>
      <c r="H147" s="31"/>
      <c r="I147" s="30"/>
      <c r="J147" s="32" t="str">
        <f aca="false">IF(OR(H147="",I147="",I147="Pending"),"",IF(I147="Win",IF(G147&gt;=100,H147*(G147/100),H147*(100/ABS(G147))),IF(I147="Loss",-H147,IF(I147="Push",0,""))))</f>
        <v/>
      </c>
      <c r="K147" s="31" t="str">
        <f aca="false">IF(H147="","",IF(K146="",K2,K146)+IF(J147="",0,J147))</f>
        <v/>
      </c>
      <c r="L147" s="33"/>
      <c r="M147" s="33"/>
    </row>
    <row r="148" customFormat="false" ht="18" hidden="false" customHeight="true" outlineLevel="0" collapsed="false">
      <c r="A148" s="24"/>
      <c r="B148" s="25"/>
      <c r="C148" s="25"/>
      <c r="D148" s="25"/>
      <c r="E148" s="25"/>
      <c r="F148" s="25"/>
      <c r="G148" s="25"/>
      <c r="H148" s="26"/>
      <c r="I148" s="25"/>
      <c r="J148" s="27" t="str">
        <f aca="false">IF(OR(H148="",I148="",I148="Pending"),"",IF(I148="Win",IF(G148&gt;=100,H148*(G148/100),H148*(100/ABS(G148))),IF(I148="Loss",-H148,IF(I148="Push",0,""))))</f>
        <v/>
      </c>
      <c r="K148" s="26" t="str">
        <f aca="false">IF(H148="","",IF(K147="",K2,K147)+IF(J148="",0,J148))</f>
        <v/>
      </c>
      <c r="L148" s="28"/>
      <c r="M148" s="28"/>
    </row>
    <row r="149" customFormat="false" ht="18" hidden="false" customHeight="true" outlineLevel="0" collapsed="false">
      <c r="A149" s="29"/>
      <c r="B149" s="30"/>
      <c r="C149" s="30"/>
      <c r="D149" s="30"/>
      <c r="E149" s="30"/>
      <c r="F149" s="30"/>
      <c r="G149" s="30"/>
      <c r="H149" s="31"/>
      <c r="I149" s="30"/>
      <c r="J149" s="32" t="str">
        <f aca="false">IF(OR(H149="",I149="",I149="Pending"),"",IF(I149="Win",IF(G149&gt;=100,H149*(G149/100),H149*(100/ABS(G149))),IF(I149="Loss",-H149,IF(I149="Push",0,""))))</f>
        <v/>
      </c>
      <c r="K149" s="31" t="str">
        <f aca="false">IF(H149="","",IF(K148="",K2,K148)+IF(J149="",0,J149))</f>
        <v/>
      </c>
      <c r="L149" s="33"/>
      <c r="M149" s="33"/>
    </row>
    <row r="150" customFormat="false" ht="18" hidden="false" customHeight="true" outlineLevel="0" collapsed="false">
      <c r="A150" s="24"/>
      <c r="B150" s="25"/>
      <c r="C150" s="25"/>
      <c r="D150" s="25"/>
      <c r="E150" s="25"/>
      <c r="F150" s="25"/>
      <c r="G150" s="25"/>
      <c r="H150" s="26"/>
      <c r="I150" s="25"/>
      <c r="J150" s="27" t="str">
        <f aca="false">IF(OR(H150="",I150="",I150="Pending"),"",IF(I150="Win",IF(G150&gt;=100,H150*(G150/100),H150*(100/ABS(G150))),IF(I150="Loss",-H150,IF(I150="Push",0,""))))</f>
        <v/>
      </c>
      <c r="K150" s="26" t="str">
        <f aca="false">IF(H150="","",IF(K149="",K2,K149)+IF(J150="",0,J150))</f>
        <v/>
      </c>
      <c r="L150" s="28"/>
      <c r="M150" s="28"/>
    </row>
    <row r="151" customFormat="false" ht="18" hidden="false" customHeight="true" outlineLevel="0" collapsed="false">
      <c r="A151" s="29"/>
      <c r="B151" s="30"/>
      <c r="C151" s="30"/>
      <c r="D151" s="30"/>
      <c r="E151" s="30"/>
      <c r="F151" s="30"/>
      <c r="G151" s="30"/>
      <c r="H151" s="31"/>
      <c r="I151" s="30"/>
      <c r="J151" s="32" t="str">
        <f aca="false">IF(OR(H151="",I151="",I151="Pending"),"",IF(I151="Win",IF(G151&gt;=100,H151*(G151/100),H151*(100/ABS(G151))),IF(I151="Loss",-H151,IF(I151="Push",0,""))))</f>
        <v/>
      </c>
      <c r="K151" s="31" t="str">
        <f aca="false">IF(H151="","",IF(K150="",K2,K150)+IF(J151="",0,J151))</f>
        <v/>
      </c>
      <c r="L151" s="33"/>
      <c r="M151" s="33"/>
    </row>
    <row r="152" customFormat="false" ht="18" hidden="false" customHeight="true" outlineLevel="0" collapsed="false">
      <c r="A152" s="24"/>
      <c r="B152" s="25"/>
      <c r="C152" s="25"/>
      <c r="D152" s="25"/>
      <c r="E152" s="25"/>
      <c r="F152" s="25"/>
      <c r="G152" s="25"/>
      <c r="H152" s="26"/>
      <c r="I152" s="25"/>
      <c r="J152" s="27" t="str">
        <f aca="false">IF(OR(H152="",I152="",I152="Pending"),"",IF(I152="Win",IF(G152&gt;=100,H152*(G152/100),H152*(100/ABS(G152))),IF(I152="Loss",-H152,IF(I152="Push",0,""))))</f>
        <v/>
      </c>
      <c r="K152" s="26" t="str">
        <f aca="false">IF(H152="","",IF(K151="",K2,K151)+IF(J152="",0,J152))</f>
        <v/>
      </c>
      <c r="L152" s="28"/>
      <c r="M152" s="28"/>
    </row>
    <row r="153" customFormat="false" ht="18" hidden="false" customHeight="true" outlineLevel="0" collapsed="false">
      <c r="A153" s="29"/>
      <c r="B153" s="30"/>
      <c r="C153" s="30"/>
      <c r="D153" s="30"/>
      <c r="E153" s="30"/>
      <c r="F153" s="30"/>
      <c r="G153" s="30"/>
      <c r="H153" s="31"/>
      <c r="I153" s="30"/>
      <c r="J153" s="32" t="str">
        <f aca="false">IF(OR(H153="",I153="",I153="Pending"),"",IF(I153="Win",IF(G153&gt;=100,H153*(G153/100),H153*(100/ABS(G153))),IF(I153="Loss",-H153,IF(I153="Push",0,""))))</f>
        <v/>
      </c>
      <c r="K153" s="31" t="str">
        <f aca="false">IF(H153="","",IF(K152="",K2,K152)+IF(J153="",0,J153))</f>
        <v/>
      </c>
      <c r="L153" s="33"/>
      <c r="M153" s="33"/>
    </row>
    <row r="154" customFormat="false" ht="18" hidden="false" customHeight="true" outlineLevel="0" collapsed="false">
      <c r="A154" s="24"/>
      <c r="B154" s="25"/>
      <c r="C154" s="25"/>
      <c r="D154" s="25"/>
      <c r="E154" s="25"/>
      <c r="F154" s="25"/>
      <c r="G154" s="25"/>
      <c r="H154" s="26"/>
      <c r="I154" s="25"/>
      <c r="J154" s="27" t="str">
        <f aca="false">IF(OR(H154="",I154="",I154="Pending"),"",IF(I154="Win",IF(G154&gt;=100,H154*(G154/100),H154*(100/ABS(G154))),IF(I154="Loss",-H154,IF(I154="Push",0,""))))</f>
        <v/>
      </c>
      <c r="K154" s="26" t="str">
        <f aca="false">IF(H154="","",IF(K153="",K2,K153)+IF(J154="",0,J154))</f>
        <v/>
      </c>
      <c r="L154" s="28"/>
      <c r="M154" s="28"/>
    </row>
    <row r="155" customFormat="false" ht="18" hidden="false" customHeight="true" outlineLevel="0" collapsed="false">
      <c r="A155" s="29"/>
      <c r="B155" s="30"/>
      <c r="C155" s="30"/>
      <c r="D155" s="30"/>
      <c r="E155" s="30"/>
      <c r="F155" s="30"/>
      <c r="G155" s="30"/>
      <c r="H155" s="31"/>
      <c r="I155" s="30"/>
      <c r="J155" s="32" t="str">
        <f aca="false">IF(OR(H155="",I155="",I155="Pending"),"",IF(I155="Win",IF(G155&gt;=100,H155*(G155/100),H155*(100/ABS(G155))),IF(I155="Loss",-H155,IF(I155="Push",0,""))))</f>
        <v/>
      </c>
      <c r="K155" s="31" t="str">
        <f aca="false">IF(H155="","",IF(K154="",K2,K154)+IF(J155="",0,J155))</f>
        <v/>
      </c>
      <c r="L155" s="33"/>
      <c r="M155" s="33"/>
    </row>
    <row r="156" customFormat="false" ht="18" hidden="false" customHeight="true" outlineLevel="0" collapsed="false">
      <c r="A156" s="24"/>
      <c r="B156" s="25"/>
      <c r="C156" s="25"/>
      <c r="D156" s="25"/>
      <c r="E156" s="25"/>
      <c r="F156" s="25"/>
      <c r="G156" s="25"/>
      <c r="H156" s="26"/>
      <c r="I156" s="25"/>
      <c r="J156" s="27" t="str">
        <f aca="false">IF(OR(H156="",I156="",I156="Pending"),"",IF(I156="Win",IF(G156&gt;=100,H156*(G156/100),H156*(100/ABS(G156))),IF(I156="Loss",-H156,IF(I156="Push",0,""))))</f>
        <v/>
      </c>
      <c r="K156" s="26" t="str">
        <f aca="false">IF(H156="","",IF(K155="",K2,K155)+IF(J156="",0,J156))</f>
        <v/>
      </c>
      <c r="L156" s="28"/>
      <c r="M156" s="28"/>
    </row>
    <row r="157" customFormat="false" ht="18" hidden="false" customHeight="true" outlineLevel="0" collapsed="false">
      <c r="A157" s="29"/>
      <c r="B157" s="30"/>
      <c r="C157" s="30"/>
      <c r="D157" s="30"/>
      <c r="E157" s="30"/>
      <c r="F157" s="30"/>
      <c r="G157" s="30"/>
      <c r="H157" s="31"/>
      <c r="I157" s="30"/>
      <c r="J157" s="32" t="str">
        <f aca="false">IF(OR(H157="",I157="",I157="Pending"),"",IF(I157="Win",IF(G157&gt;=100,H157*(G157/100),H157*(100/ABS(G157))),IF(I157="Loss",-H157,IF(I157="Push",0,""))))</f>
        <v/>
      </c>
      <c r="K157" s="31" t="str">
        <f aca="false">IF(H157="","",IF(K156="",K2,K156)+IF(J157="",0,J157))</f>
        <v/>
      </c>
      <c r="L157" s="33"/>
      <c r="M157" s="33"/>
    </row>
    <row r="158" customFormat="false" ht="18" hidden="false" customHeight="true" outlineLevel="0" collapsed="false">
      <c r="A158" s="24"/>
      <c r="B158" s="25"/>
      <c r="C158" s="25"/>
      <c r="D158" s="25"/>
      <c r="E158" s="25"/>
      <c r="F158" s="25"/>
      <c r="G158" s="25"/>
      <c r="H158" s="26"/>
      <c r="I158" s="25"/>
      <c r="J158" s="27" t="str">
        <f aca="false">IF(OR(H158="",I158="",I158="Pending"),"",IF(I158="Win",IF(G158&gt;=100,H158*(G158/100),H158*(100/ABS(G158))),IF(I158="Loss",-H158,IF(I158="Push",0,""))))</f>
        <v/>
      </c>
      <c r="K158" s="26" t="str">
        <f aca="false">IF(H158="","",IF(K157="",K2,K157)+IF(J158="",0,J158))</f>
        <v/>
      </c>
      <c r="L158" s="28"/>
      <c r="M158" s="28"/>
    </row>
    <row r="159" customFormat="false" ht="18" hidden="false" customHeight="true" outlineLevel="0" collapsed="false">
      <c r="A159" s="29"/>
      <c r="B159" s="30"/>
      <c r="C159" s="30"/>
      <c r="D159" s="30"/>
      <c r="E159" s="30"/>
      <c r="F159" s="30"/>
      <c r="G159" s="30"/>
      <c r="H159" s="31"/>
      <c r="I159" s="30"/>
      <c r="J159" s="32" t="str">
        <f aca="false">IF(OR(H159="",I159="",I159="Pending"),"",IF(I159="Win",IF(G159&gt;=100,H159*(G159/100),H159*(100/ABS(G159))),IF(I159="Loss",-H159,IF(I159="Push",0,""))))</f>
        <v/>
      </c>
      <c r="K159" s="31" t="str">
        <f aca="false">IF(H159="","",IF(K158="",K2,K158)+IF(J159="",0,J159))</f>
        <v/>
      </c>
      <c r="L159" s="33"/>
      <c r="M159" s="33"/>
    </row>
    <row r="160" customFormat="false" ht="18" hidden="false" customHeight="true" outlineLevel="0" collapsed="false">
      <c r="A160" s="24"/>
      <c r="B160" s="25"/>
      <c r="C160" s="25"/>
      <c r="D160" s="25"/>
      <c r="E160" s="25"/>
      <c r="F160" s="25"/>
      <c r="G160" s="25"/>
      <c r="H160" s="26"/>
      <c r="I160" s="25"/>
      <c r="J160" s="27" t="str">
        <f aca="false">IF(OR(H160="",I160="",I160="Pending"),"",IF(I160="Win",IF(G160&gt;=100,H160*(G160/100),H160*(100/ABS(G160))),IF(I160="Loss",-H160,IF(I160="Push",0,""))))</f>
        <v/>
      </c>
      <c r="K160" s="26" t="str">
        <f aca="false">IF(H160="","",IF(K159="",K2,K159)+IF(J160="",0,J160))</f>
        <v/>
      </c>
      <c r="L160" s="28"/>
      <c r="M160" s="28"/>
    </row>
    <row r="161" customFormat="false" ht="18" hidden="false" customHeight="true" outlineLevel="0" collapsed="false">
      <c r="A161" s="29"/>
      <c r="B161" s="30"/>
      <c r="C161" s="30"/>
      <c r="D161" s="30"/>
      <c r="E161" s="30"/>
      <c r="F161" s="30"/>
      <c r="G161" s="30"/>
      <c r="H161" s="31"/>
      <c r="I161" s="30"/>
      <c r="J161" s="32" t="str">
        <f aca="false">IF(OR(H161="",I161="",I161="Pending"),"",IF(I161="Win",IF(G161&gt;=100,H161*(G161/100),H161*(100/ABS(G161))),IF(I161="Loss",-H161,IF(I161="Push",0,""))))</f>
        <v/>
      </c>
      <c r="K161" s="31" t="str">
        <f aca="false">IF(H161="","",IF(K160="",K2,K160)+IF(J161="",0,J161))</f>
        <v/>
      </c>
      <c r="L161" s="33"/>
      <c r="M161" s="33"/>
    </row>
    <row r="162" customFormat="false" ht="18" hidden="false" customHeight="true" outlineLevel="0" collapsed="false">
      <c r="A162" s="24"/>
      <c r="B162" s="25"/>
      <c r="C162" s="25"/>
      <c r="D162" s="25"/>
      <c r="E162" s="25"/>
      <c r="F162" s="25"/>
      <c r="G162" s="25"/>
      <c r="H162" s="26"/>
      <c r="I162" s="25"/>
      <c r="J162" s="27" t="str">
        <f aca="false">IF(OR(H162="",I162="",I162="Pending"),"",IF(I162="Win",IF(G162&gt;=100,H162*(G162/100),H162*(100/ABS(G162))),IF(I162="Loss",-H162,IF(I162="Push",0,""))))</f>
        <v/>
      </c>
      <c r="K162" s="26" t="str">
        <f aca="false">IF(H162="","",IF(K161="",K2,K161)+IF(J162="",0,J162))</f>
        <v/>
      </c>
      <c r="L162" s="28"/>
      <c r="M162" s="28"/>
    </row>
    <row r="163" customFormat="false" ht="18" hidden="false" customHeight="true" outlineLevel="0" collapsed="false">
      <c r="A163" s="29"/>
      <c r="B163" s="30"/>
      <c r="C163" s="30"/>
      <c r="D163" s="30"/>
      <c r="E163" s="30"/>
      <c r="F163" s="30"/>
      <c r="G163" s="30"/>
      <c r="H163" s="31"/>
      <c r="I163" s="30"/>
      <c r="J163" s="32" t="str">
        <f aca="false">IF(OR(H163="",I163="",I163="Pending"),"",IF(I163="Win",IF(G163&gt;=100,H163*(G163/100),H163*(100/ABS(G163))),IF(I163="Loss",-H163,IF(I163="Push",0,""))))</f>
        <v/>
      </c>
      <c r="K163" s="31" t="str">
        <f aca="false">IF(H163="","",IF(K162="",K2,K162)+IF(J163="",0,J163))</f>
        <v/>
      </c>
      <c r="L163" s="33"/>
      <c r="M163" s="33"/>
    </row>
    <row r="164" customFormat="false" ht="18" hidden="false" customHeight="true" outlineLevel="0" collapsed="false">
      <c r="A164" s="24"/>
      <c r="B164" s="25"/>
      <c r="C164" s="25"/>
      <c r="D164" s="25"/>
      <c r="E164" s="25"/>
      <c r="F164" s="25"/>
      <c r="G164" s="25"/>
      <c r="H164" s="26"/>
      <c r="I164" s="25"/>
      <c r="J164" s="27" t="str">
        <f aca="false">IF(OR(H164="",I164="",I164="Pending"),"",IF(I164="Win",IF(G164&gt;=100,H164*(G164/100),H164*(100/ABS(G164))),IF(I164="Loss",-H164,IF(I164="Push",0,""))))</f>
        <v/>
      </c>
      <c r="K164" s="26" t="str">
        <f aca="false">IF(H164="","",IF(K163="",K2,K163)+IF(J164="",0,J164))</f>
        <v/>
      </c>
      <c r="L164" s="28"/>
      <c r="M164" s="28"/>
    </row>
    <row r="165" customFormat="false" ht="18" hidden="false" customHeight="true" outlineLevel="0" collapsed="false">
      <c r="A165" s="29"/>
      <c r="B165" s="30"/>
      <c r="C165" s="30"/>
      <c r="D165" s="30"/>
      <c r="E165" s="30"/>
      <c r="F165" s="30"/>
      <c r="G165" s="30"/>
      <c r="H165" s="31"/>
      <c r="I165" s="30"/>
      <c r="J165" s="32" t="str">
        <f aca="false">IF(OR(H165="",I165="",I165="Pending"),"",IF(I165="Win",IF(G165&gt;=100,H165*(G165/100),H165*(100/ABS(G165))),IF(I165="Loss",-H165,IF(I165="Push",0,""))))</f>
        <v/>
      </c>
      <c r="K165" s="31" t="str">
        <f aca="false">IF(H165="","",IF(K164="",K2,K164)+IF(J165="",0,J165))</f>
        <v/>
      </c>
      <c r="L165" s="33"/>
      <c r="M165" s="33"/>
    </row>
    <row r="166" customFormat="false" ht="18" hidden="false" customHeight="true" outlineLevel="0" collapsed="false">
      <c r="A166" s="24"/>
      <c r="B166" s="25"/>
      <c r="C166" s="25"/>
      <c r="D166" s="25"/>
      <c r="E166" s="25"/>
      <c r="F166" s="25"/>
      <c r="G166" s="25"/>
      <c r="H166" s="26"/>
      <c r="I166" s="25"/>
      <c r="J166" s="27" t="str">
        <f aca="false">IF(OR(H166="",I166="",I166="Pending"),"",IF(I166="Win",IF(G166&gt;=100,H166*(G166/100),H166*(100/ABS(G166))),IF(I166="Loss",-H166,IF(I166="Push",0,""))))</f>
        <v/>
      </c>
      <c r="K166" s="26" t="str">
        <f aca="false">IF(H166="","",IF(K165="",K2,K165)+IF(J166="",0,J166))</f>
        <v/>
      </c>
      <c r="L166" s="28"/>
      <c r="M166" s="28"/>
    </row>
    <row r="167" customFormat="false" ht="18" hidden="false" customHeight="true" outlineLevel="0" collapsed="false">
      <c r="A167" s="29"/>
      <c r="B167" s="30"/>
      <c r="C167" s="30"/>
      <c r="D167" s="30"/>
      <c r="E167" s="30"/>
      <c r="F167" s="30"/>
      <c r="G167" s="30"/>
      <c r="H167" s="31"/>
      <c r="I167" s="30"/>
      <c r="J167" s="32" t="str">
        <f aca="false">IF(OR(H167="",I167="",I167="Pending"),"",IF(I167="Win",IF(G167&gt;=100,H167*(G167/100),H167*(100/ABS(G167))),IF(I167="Loss",-H167,IF(I167="Push",0,""))))</f>
        <v/>
      </c>
      <c r="K167" s="31" t="str">
        <f aca="false">IF(H167="","",IF(K166="",K2,K166)+IF(J167="",0,J167))</f>
        <v/>
      </c>
      <c r="L167" s="33"/>
      <c r="M167" s="33"/>
    </row>
    <row r="168" customFormat="false" ht="18" hidden="false" customHeight="true" outlineLevel="0" collapsed="false">
      <c r="A168" s="24"/>
      <c r="B168" s="25"/>
      <c r="C168" s="25"/>
      <c r="D168" s="25"/>
      <c r="E168" s="25"/>
      <c r="F168" s="25"/>
      <c r="G168" s="25"/>
      <c r="H168" s="26"/>
      <c r="I168" s="25"/>
      <c r="J168" s="27" t="str">
        <f aca="false">IF(OR(H168="",I168="",I168="Pending"),"",IF(I168="Win",IF(G168&gt;=100,H168*(G168/100),H168*(100/ABS(G168))),IF(I168="Loss",-H168,IF(I168="Push",0,""))))</f>
        <v/>
      </c>
      <c r="K168" s="26" t="str">
        <f aca="false">IF(H168="","",IF(K167="",K2,K167)+IF(J168="",0,J168))</f>
        <v/>
      </c>
      <c r="L168" s="28"/>
      <c r="M168" s="28"/>
    </row>
    <row r="169" customFormat="false" ht="18" hidden="false" customHeight="true" outlineLevel="0" collapsed="false">
      <c r="A169" s="29"/>
      <c r="B169" s="30"/>
      <c r="C169" s="30"/>
      <c r="D169" s="30"/>
      <c r="E169" s="30"/>
      <c r="F169" s="30"/>
      <c r="G169" s="30"/>
      <c r="H169" s="31"/>
      <c r="I169" s="30"/>
      <c r="J169" s="32" t="str">
        <f aca="false">IF(OR(H169="",I169="",I169="Pending"),"",IF(I169="Win",IF(G169&gt;=100,H169*(G169/100),H169*(100/ABS(G169))),IF(I169="Loss",-H169,IF(I169="Push",0,""))))</f>
        <v/>
      </c>
      <c r="K169" s="31" t="str">
        <f aca="false">IF(H169="","",IF(K168="",K2,K168)+IF(J169="",0,J169))</f>
        <v/>
      </c>
      <c r="L169" s="33"/>
      <c r="M169" s="33"/>
    </row>
    <row r="170" customFormat="false" ht="18" hidden="false" customHeight="true" outlineLevel="0" collapsed="false">
      <c r="A170" s="24"/>
      <c r="B170" s="25"/>
      <c r="C170" s="25"/>
      <c r="D170" s="25"/>
      <c r="E170" s="25"/>
      <c r="F170" s="25"/>
      <c r="G170" s="25"/>
      <c r="H170" s="26"/>
      <c r="I170" s="25"/>
      <c r="J170" s="27" t="str">
        <f aca="false">IF(OR(H170="",I170="",I170="Pending"),"",IF(I170="Win",IF(G170&gt;=100,H170*(G170/100),H170*(100/ABS(G170))),IF(I170="Loss",-H170,IF(I170="Push",0,""))))</f>
        <v/>
      </c>
      <c r="K170" s="26" t="str">
        <f aca="false">IF(H170="","",IF(K169="",K2,K169)+IF(J170="",0,J170))</f>
        <v/>
      </c>
      <c r="L170" s="28"/>
      <c r="M170" s="28"/>
    </row>
    <row r="171" customFormat="false" ht="18" hidden="false" customHeight="true" outlineLevel="0" collapsed="false">
      <c r="A171" s="29"/>
      <c r="B171" s="30"/>
      <c r="C171" s="30"/>
      <c r="D171" s="30"/>
      <c r="E171" s="30"/>
      <c r="F171" s="30"/>
      <c r="G171" s="30"/>
      <c r="H171" s="31"/>
      <c r="I171" s="30"/>
      <c r="J171" s="32" t="str">
        <f aca="false">IF(OR(H171="",I171="",I171="Pending"),"",IF(I171="Win",IF(G171&gt;=100,H171*(G171/100),H171*(100/ABS(G171))),IF(I171="Loss",-H171,IF(I171="Push",0,""))))</f>
        <v/>
      </c>
      <c r="K171" s="31" t="str">
        <f aca="false">IF(H171="","",IF(K170="",K2,K170)+IF(J171="",0,J171))</f>
        <v/>
      </c>
      <c r="L171" s="33"/>
      <c r="M171" s="33"/>
    </row>
    <row r="172" customFormat="false" ht="18" hidden="false" customHeight="true" outlineLevel="0" collapsed="false">
      <c r="A172" s="24"/>
      <c r="B172" s="25"/>
      <c r="C172" s="25"/>
      <c r="D172" s="25"/>
      <c r="E172" s="25"/>
      <c r="F172" s="25"/>
      <c r="G172" s="25"/>
      <c r="H172" s="26"/>
      <c r="I172" s="25"/>
      <c r="J172" s="27" t="str">
        <f aca="false">IF(OR(H172="",I172="",I172="Pending"),"",IF(I172="Win",IF(G172&gt;=100,H172*(G172/100),H172*(100/ABS(G172))),IF(I172="Loss",-H172,IF(I172="Push",0,""))))</f>
        <v/>
      </c>
      <c r="K172" s="26" t="str">
        <f aca="false">IF(H172="","",IF(K171="",K2,K171)+IF(J172="",0,J172))</f>
        <v/>
      </c>
      <c r="L172" s="28"/>
      <c r="M172" s="28"/>
    </row>
    <row r="173" customFormat="false" ht="18" hidden="false" customHeight="true" outlineLevel="0" collapsed="false">
      <c r="A173" s="29"/>
      <c r="B173" s="30"/>
      <c r="C173" s="30"/>
      <c r="D173" s="30"/>
      <c r="E173" s="30"/>
      <c r="F173" s="30"/>
      <c r="G173" s="30"/>
      <c r="H173" s="31"/>
      <c r="I173" s="30"/>
      <c r="J173" s="32" t="str">
        <f aca="false">IF(OR(H173="",I173="",I173="Pending"),"",IF(I173="Win",IF(G173&gt;=100,H173*(G173/100),H173*(100/ABS(G173))),IF(I173="Loss",-H173,IF(I173="Push",0,""))))</f>
        <v/>
      </c>
      <c r="K173" s="31" t="str">
        <f aca="false">IF(H173="","",IF(K172="",K2,K172)+IF(J173="",0,J173))</f>
        <v/>
      </c>
      <c r="L173" s="33"/>
      <c r="M173" s="33"/>
    </row>
    <row r="174" customFormat="false" ht="18" hidden="false" customHeight="true" outlineLevel="0" collapsed="false">
      <c r="A174" s="24"/>
      <c r="B174" s="25"/>
      <c r="C174" s="25"/>
      <c r="D174" s="25"/>
      <c r="E174" s="25"/>
      <c r="F174" s="25"/>
      <c r="G174" s="25"/>
      <c r="H174" s="26"/>
      <c r="I174" s="25"/>
      <c r="J174" s="27" t="str">
        <f aca="false">IF(OR(H174="",I174="",I174="Pending"),"",IF(I174="Win",IF(G174&gt;=100,H174*(G174/100),H174*(100/ABS(G174))),IF(I174="Loss",-H174,IF(I174="Push",0,""))))</f>
        <v/>
      </c>
      <c r="K174" s="26" t="str">
        <f aca="false">IF(H174="","",IF(K173="",K2,K173)+IF(J174="",0,J174))</f>
        <v/>
      </c>
      <c r="L174" s="28"/>
      <c r="M174" s="28"/>
    </row>
    <row r="175" customFormat="false" ht="18" hidden="false" customHeight="true" outlineLevel="0" collapsed="false">
      <c r="A175" s="29"/>
      <c r="B175" s="30"/>
      <c r="C175" s="30"/>
      <c r="D175" s="30"/>
      <c r="E175" s="30"/>
      <c r="F175" s="30"/>
      <c r="G175" s="30"/>
      <c r="H175" s="31"/>
      <c r="I175" s="30"/>
      <c r="J175" s="32" t="str">
        <f aca="false">IF(OR(H175="",I175="",I175="Pending"),"",IF(I175="Win",IF(G175&gt;=100,H175*(G175/100),H175*(100/ABS(G175))),IF(I175="Loss",-H175,IF(I175="Push",0,""))))</f>
        <v/>
      </c>
      <c r="K175" s="31" t="str">
        <f aca="false">IF(H175="","",IF(K174="",K2,K174)+IF(J175="",0,J175))</f>
        <v/>
      </c>
      <c r="L175" s="33"/>
      <c r="M175" s="33"/>
    </row>
    <row r="176" customFormat="false" ht="18" hidden="false" customHeight="true" outlineLevel="0" collapsed="false">
      <c r="A176" s="24"/>
      <c r="B176" s="25"/>
      <c r="C176" s="25"/>
      <c r="D176" s="25"/>
      <c r="E176" s="25"/>
      <c r="F176" s="25"/>
      <c r="G176" s="25"/>
      <c r="H176" s="26"/>
      <c r="I176" s="25"/>
      <c r="J176" s="27" t="str">
        <f aca="false">IF(OR(H176="",I176="",I176="Pending"),"",IF(I176="Win",IF(G176&gt;=100,H176*(G176/100),H176*(100/ABS(G176))),IF(I176="Loss",-H176,IF(I176="Push",0,""))))</f>
        <v/>
      </c>
      <c r="K176" s="26" t="str">
        <f aca="false">IF(H176="","",IF(K175="",K2,K175)+IF(J176="",0,J176))</f>
        <v/>
      </c>
      <c r="L176" s="28"/>
      <c r="M176" s="28"/>
    </row>
    <row r="177" customFormat="false" ht="18" hidden="false" customHeight="true" outlineLevel="0" collapsed="false">
      <c r="A177" s="29"/>
      <c r="B177" s="30"/>
      <c r="C177" s="30"/>
      <c r="D177" s="30"/>
      <c r="E177" s="30"/>
      <c r="F177" s="30"/>
      <c r="G177" s="30"/>
      <c r="H177" s="31"/>
      <c r="I177" s="30"/>
      <c r="J177" s="32" t="str">
        <f aca="false">IF(OR(H177="",I177="",I177="Pending"),"",IF(I177="Win",IF(G177&gt;=100,H177*(G177/100),H177*(100/ABS(G177))),IF(I177="Loss",-H177,IF(I177="Push",0,""))))</f>
        <v/>
      </c>
      <c r="K177" s="31" t="str">
        <f aca="false">IF(H177="","",IF(K176="",K2,K176)+IF(J177="",0,J177))</f>
        <v/>
      </c>
      <c r="L177" s="33"/>
      <c r="M177" s="33"/>
    </row>
    <row r="178" customFormat="false" ht="18" hidden="false" customHeight="true" outlineLevel="0" collapsed="false">
      <c r="A178" s="24"/>
      <c r="B178" s="25"/>
      <c r="C178" s="25"/>
      <c r="D178" s="25"/>
      <c r="E178" s="25"/>
      <c r="F178" s="25"/>
      <c r="G178" s="25"/>
      <c r="H178" s="26"/>
      <c r="I178" s="25"/>
      <c r="J178" s="27" t="str">
        <f aca="false">IF(OR(H178="",I178="",I178="Pending"),"",IF(I178="Win",IF(G178&gt;=100,H178*(G178/100),H178*(100/ABS(G178))),IF(I178="Loss",-H178,IF(I178="Push",0,""))))</f>
        <v/>
      </c>
      <c r="K178" s="26" t="str">
        <f aca="false">IF(H178="","",IF(K177="",K2,K177)+IF(J178="",0,J178))</f>
        <v/>
      </c>
      <c r="L178" s="28"/>
      <c r="M178" s="28"/>
    </row>
    <row r="179" customFormat="false" ht="18" hidden="false" customHeight="true" outlineLevel="0" collapsed="false">
      <c r="A179" s="29"/>
      <c r="B179" s="30"/>
      <c r="C179" s="30"/>
      <c r="D179" s="30"/>
      <c r="E179" s="30"/>
      <c r="F179" s="30"/>
      <c r="G179" s="30"/>
      <c r="H179" s="31"/>
      <c r="I179" s="30"/>
      <c r="J179" s="32" t="str">
        <f aca="false">IF(OR(H179="",I179="",I179="Pending"),"",IF(I179="Win",IF(G179&gt;=100,H179*(G179/100),H179*(100/ABS(G179))),IF(I179="Loss",-H179,IF(I179="Push",0,""))))</f>
        <v/>
      </c>
      <c r="K179" s="31" t="str">
        <f aca="false">IF(H179="","",IF(K178="",K2,K178)+IF(J179="",0,J179))</f>
        <v/>
      </c>
      <c r="L179" s="33"/>
      <c r="M179" s="33"/>
    </row>
    <row r="180" customFormat="false" ht="18" hidden="false" customHeight="true" outlineLevel="0" collapsed="false">
      <c r="A180" s="24"/>
      <c r="B180" s="25"/>
      <c r="C180" s="25"/>
      <c r="D180" s="25"/>
      <c r="E180" s="25"/>
      <c r="F180" s="25"/>
      <c r="G180" s="25"/>
      <c r="H180" s="26"/>
      <c r="I180" s="25"/>
      <c r="J180" s="27" t="str">
        <f aca="false">IF(OR(H180="",I180="",I180="Pending"),"",IF(I180="Win",IF(G180&gt;=100,H180*(G180/100),H180*(100/ABS(G180))),IF(I180="Loss",-H180,IF(I180="Push",0,""))))</f>
        <v/>
      </c>
      <c r="K180" s="26" t="str">
        <f aca="false">IF(H180="","",IF(K179="",K2,K179)+IF(J180="",0,J180))</f>
        <v/>
      </c>
      <c r="L180" s="28"/>
      <c r="M180" s="28"/>
    </row>
    <row r="181" customFormat="false" ht="18" hidden="false" customHeight="true" outlineLevel="0" collapsed="false">
      <c r="A181" s="29"/>
      <c r="B181" s="30"/>
      <c r="C181" s="30"/>
      <c r="D181" s="30"/>
      <c r="E181" s="30"/>
      <c r="F181" s="30"/>
      <c r="G181" s="30"/>
      <c r="H181" s="31"/>
      <c r="I181" s="30"/>
      <c r="J181" s="32" t="str">
        <f aca="false">IF(OR(H181="",I181="",I181="Pending"),"",IF(I181="Win",IF(G181&gt;=100,H181*(G181/100),H181*(100/ABS(G181))),IF(I181="Loss",-H181,IF(I181="Push",0,""))))</f>
        <v/>
      </c>
      <c r="K181" s="31" t="str">
        <f aca="false">IF(H181="","",IF(K180="",K2,K180)+IF(J181="",0,J181))</f>
        <v/>
      </c>
      <c r="L181" s="33"/>
      <c r="M181" s="33"/>
    </row>
    <row r="182" customFormat="false" ht="18" hidden="false" customHeight="true" outlineLevel="0" collapsed="false">
      <c r="A182" s="24"/>
      <c r="B182" s="25"/>
      <c r="C182" s="25"/>
      <c r="D182" s="25"/>
      <c r="E182" s="25"/>
      <c r="F182" s="25"/>
      <c r="G182" s="25"/>
      <c r="H182" s="26"/>
      <c r="I182" s="25"/>
      <c r="J182" s="27" t="str">
        <f aca="false">IF(OR(H182="",I182="",I182="Pending"),"",IF(I182="Win",IF(G182&gt;=100,H182*(G182/100),H182*(100/ABS(G182))),IF(I182="Loss",-H182,IF(I182="Push",0,""))))</f>
        <v/>
      </c>
      <c r="K182" s="26" t="str">
        <f aca="false">IF(H182="","",IF(K181="",K2,K181)+IF(J182="",0,J182))</f>
        <v/>
      </c>
      <c r="L182" s="28"/>
      <c r="M182" s="28"/>
    </row>
    <row r="183" customFormat="false" ht="18" hidden="false" customHeight="true" outlineLevel="0" collapsed="false">
      <c r="A183" s="29"/>
      <c r="B183" s="30"/>
      <c r="C183" s="30"/>
      <c r="D183" s="30"/>
      <c r="E183" s="30"/>
      <c r="F183" s="30"/>
      <c r="G183" s="30"/>
      <c r="H183" s="31"/>
      <c r="I183" s="30"/>
      <c r="J183" s="32" t="str">
        <f aca="false">IF(OR(H183="",I183="",I183="Pending"),"",IF(I183="Win",IF(G183&gt;=100,H183*(G183/100),H183*(100/ABS(G183))),IF(I183="Loss",-H183,IF(I183="Push",0,""))))</f>
        <v/>
      </c>
      <c r="K183" s="31" t="str">
        <f aca="false">IF(H183="","",IF(K182="",K2,K182)+IF(J183="",0,J183))</f>
        <v/>
      </c>
      <c r="L183" s="33"/>
      <c r="M183" s="33"/>
    </row>
    <row r="184" customFormat="false" ht="18" hidden="false" customHeight="true" outlineLevel="0" collapsed="false">
      <c r="A184" s="24"/>
      <c r="B184" s="25"/>
      <c r="C184" s="25"/>
      <c r="D184" s="25"/>
      <c r="E184" s="25"/>
      <c r="F184" s="25"/>
      <c r="G184" s="25"/>
      <c r="H184" s="26"/>
      <c r="I184" s="25"/>
      <c r="J184" s="27" t="str">
        <f aca="false">IF(OR(H184="",I184="",I184="Pending"),"",IF(I184="Win",IF(G184&gt;=100,H184*(G184/100),H184*(100/ABS(G184))),IF(I184="Loss",-H184,IF(I184="Push",0,""))))</f>
        <v/>
      </c>
      <c r="K184" s="26" t="str">
        <f aca="false">IF(H184="","",IF(K183="",K2,K183)+IF(J184="",0,J184))</f>
        <v/>
      </c>
      <c r="L184" s="28"/>
      <c r="M184" s="28"/>
    </row>
    <row r="185" customFormat="false" ht="18" hidden="false" customHeight="true" outlineLevel="0" collapsed="false">
      <c r="A185" s="29"/>
      <c r="B185" s="30"/>
      <c r="C185" s="30"/>
      <c r="D185" s="30"/>
      <c r="E185" s="30"/>
      <c r="F185" s="30"/>
      <c r="G185" s="30"/>
      <c r="H185" s="31"/>
      <c r="I185" s="30"/>
      <c r="J185" s="32" t="str">
        <f aca="false">IF(OR(H185="",I185="",I185="Pending"),"",IF(I185="Win",IF(G185&gt;=100,H185*(G185/100),H185*(100/ABS(G185))),IF(I185="Loss",-H185,IF(I185="Push",0,""))))</f>
        <v/>
      </c>
      <c r="K185" s="31" t="str">
        <f aca="false">IF(H185="","",IF(K184="",K2,K184)+IF(J185="",0,J185))</f>
        <v/>
      </c>
      <c r="L185" s="33"/>
      <c r="M185" s="33"/>
    </row>
    <row r="186" customFormat="false" ht="18" hidden="false" customHeight="true" outlineLevel="0" collapsed="false">
      <c r="A186" s="24"/>
      <c r="B186" s="25"/>
      <c r="C186" s="25"/>
      <c r="D186" s="25"/>
      <c r="E186" s="25"/>
      <c r="F186" s="25"/>
      <c r="G186" s="25"/>
      <c r="H186" s="26"/>
      <c r="I186" s="25"/>
      <c r="J186" s="27" t="str">
        <f aca="false">IF(OR(H186="",I186="",I186="Pending"),"",IF(I186="Win",IF(G186&gt;=100,H186*(G186/100),H186*(100/ABS(G186))),IF(I186="Loss",-H186,IF(I186="Push",0,""))))</f>
        <v/>
      </c>
      <c r="K186" s="26" t="str">
        <f aca="false">IF(H186="","",IF(K185="",K2,K185)+IF(J186="",0,J186))</f>
        <v/>
      </c>
      <c r="L186" s="28"/>
      <c r="M186" s="28"/>
    </row>
    <row r="187" customFormat="false" ht="18" hidden="false" customHeight="true" outlineLevel="0" collapsed="false">
      <c r="A187" s="29"/>
      <c r="B187" s="30"/>
      <c r="C187" s="30"/>
      <c r="D187" s="30"/>
      <c r="E187" s="30"/>
      <c r="F187" s="30"/>
      <c r="G187" s="30"/>
      <c r="H187" s="31"/>
      <c r="I187" s="30"/>
      <c r="J187" s="32" t="str">
        <f aca="false">IF(OR(H187="",I187="",I187="Pending"),"",IF(I187="Win",IF(G187&gt;=100,H187*(G187/100),H187*(100/ABS(G187))),IF(I187="Loss",-H187,IF(I187="Push",0,""))))</f>
        <v/>
      </c>
      <c r="K187" s="31" t="str">
        <f aca="false">IF(H187="","",IF(K186="",K2,K186)+IF(J187="",0,J187))</f>
        <v/>
      </c>
      <c r="L187" s="33"/>
      <c r="M187" s="33"/>
    </row>
    <row r="188" customFormat="false" ht="18" hidden="false" customHeight="true" outlineLevel="0" collapsed="false">
      <c r="A188" s="24"/>
      <c r="B188" s="25"/>
      <c r="C188" s="25"/>
      <c r="D188" s="25"/>
      <c r="E188" s="25"/>
      <c r="F188" s="25"/>
      <c r="G188" s="25"/>
      <c r="H188" s="26"/>
      <c r="I188" s="25"/>
      <c r="J188" s="27" t="str">
        <f aca="false">IF(OR(H188="",I188="",I188="Pending"),"",IF(I188="Win",IF(G188&gt;=100,H188*(G188/100),H188*(100/ABS(G188))),IF(I188="Loss",-H188,IF(I188="Push",0,""))))</f>
        <v/>
      </c>
      <c r="K188" s="26" t="str">
        <f aca="false">IF(H188="","",IF(K187="",K2,K187)+IF(J188="",0,J188))</f>
        <v/>
      </c>
      <c r="L188" s="28"/>
      <c r="M188" s="28"/>
    </row>
    <row r="189" customFormat="false" ht="18" hidden="false" customHeight="true" outlineLevel="0" collapsed="false">
      <c r="A189" s="29"/>
      <c r="B189" s="30"/>
      <c r="C189" s="30"/>
      <c r="D189" s="30"/>
      <c r="E189" s="30"/>
      <c r="F189" s="30"/>
      <c r="G189" s="30"/>
      <c r="H189" s="31"/>
      <c r="I189" s="30"/>
      <c r="J189" s="32" t="str">
        <f aca="false">IF(OR(H189="",I189="",I189="Pending"),"",IF(I189="Win",IF(G189&gt;=100,H189*(G189/100),H189*(100/ABS(G189))),IF(I189="Loss",-H189,IF(I189="Push",0,""))))</f>
        <v/>
      </c>
      <c r="K189" s="31" t="str">
        <f aca="false">IF(H189="","",IF(K188="",K2,K188)+IF(J189="",0,J189))</f>
        <v/>
      </c>
      <c r="L189" s="33"/>
      <c r="M189" s="33"/>
    </row>
    <row r="190" customFormat="false" ht="18" hidden="false" customHeight="true" outlineLevel="0" collapsed="false">
      <c r="A190" s="24"/>
      <c r="B190" s="25"/>
      <c r="C190" s="25"/>
      <c r="D190" s="25"/>
      <c r="E190" s="25"/>
      <c r="F190" s="25"/>
      <c r="G190" s="25"/>
      <c r="H190" s="26"/>
      <c r="I190" s="25"/>
      <c r="J190" s="27" t="str">
        <f aca="false">IF(OR(H190="",I190="",I190="Pending"),"",IF(I190="Win",IF(G190&gt;=100,H190*(G190/100),H190*(100/ABS(G190))),IF(I190="Loss",-H190,IF(I190="Push",0,""))))</f>
        <v/>
      </c>
      <c r="K190" s="26" t="str">
        <f aca="false">IF(H190="","",IF(K189="",K2,K189)+IF(J190="",0,J190))</f>
        <v/>
      </c>
      <c r="L190" s="28"/>
      <c r="M190" s="28"/>
    </row>
    <row r="191" customFormat="false" ht="18" hidden="false" customHeight="true" outlineLevel="0" collapsed="false">
      <c r="A191" s="29"/>
      <c r="B191" s="30"/>
      <c r="C191" s="30"/>
      <c r="D191" s="30"/>
      <c r="E191" s="30"/>
      <c r="F191" s="30"/>
      <c r="G191" s="30"/>
      <c r="H191" s="31"/>
      <c r="I191" s="30"/>
      <c r="J191" s="32" t="str">
        <f aca="false">IF(OR(H191="",I191="",I191="Pending"),"",IF(I191="Win",IF(G191&gt;=100,H191*(G191/100),H191*(100/ABS(G191))),IF(I191="Loss",-H191,IF(I191="Push",0,""))))</f>
        <v/>
      </c>
      <c r="K191" s="31" t="str">
        <f aca="false">IF(H191="","",IF(K190="",K2,K190)+IF(J191="",0,J191))</f>
        <v/>
      </c>
      <c r="L191" s="33"/>
      <c r="M191" s="33"/>
    </row>
    <row r="192" customFormat="false" ht="18" hidden="false" customHeight="true" outlineLevel="0" collapsed="false">
      <c r="A192" s="24"/>
      <c r="B192" s="25"/>
      <c r="C192" s="25"/>
      <c r="D192" s="25"/>
      <c r="E192" s="25"/>
      <c r="F192" s="25"/>
      <c r="G192" s="25"/>
      <c r="H192" s="26"/>
      <c r="I192" s="25"/>
      <c r="J192" s="27" t="str">
        <f aca="false">IF(OR(H192="",I192="",I192="Pending"),"",IF(I192="Win",IF(G192&gt;=100,H192*(G192/100),H192*(100/ABS(G192))),IF(I192="Loss",-H192,IF(I192="Push",0,""))))</f>
        <v/>
      </c>
      <c r="K192" s="26" t="str">
        <f aca="false">IF(H192="","",IF(K191="",K2,K191)+IF(J192="",0,J192))</f>
        <v/>
      </c>
      <c r="L192" s="28"/>
      <c r="M192" s="28"/>
    </row>
    <row r="193" customFormat="false" ht="18" hidden="false" customHeight="true" outlineLevel="0" collapsed="false">
      <c r="A193" s="29"/>
      <c r="B193" s="30"/>
      <c r="C193" s="30"/>
      <c r="D193" s="30"/>
      <c r="E193" s="30"/>
      <c r="F193" s="30"/>
      <c r="G193" s="30"/>
      <c r="H193" s="31"/>
      <c r="I193" s="30"/>
      <c r="J193" s="32" t="str">
        <f aca="false">IF(OR(H193="",I193="",I193="Pending"),"",IF(I193="Win",IF(G193&gt;=100,H193*(G193/100),H193*(100/ABS(G193))),IF(I193="Loss",-H193,IF(I193="Push",0,""))))</f>
        <v/>
      </c>
      <c r="K193" s="31" t="str">
        <f aca="false">IF(H193="","",IF(K192="",K2,K192)+IF(J193="",0,J193))</f>
        <v/>
      </c>
      <c r="L193" s="33"/>
      <c r="M193" s="33"/>
    </row>
    <row r="194" customFormat="false" ht="18" hidden="false" customHeight="true" outlineLevel="0" collapsed="false">
      <c r="A194" s="24"/>
      <c r="B194" s="25"/>
      <c r="C194" s="25"/>
      <c r="D194" s="25"/>
      <c r="E194" s="25"/>
      <c r="F194" s="25"/>
      <c r="G194" s="25"/>
      <c r="H194" s="26"/>
      <c r="I194" s="25"/>
      <c r="J194" s="27" t="str">
        <f aca="false">IF(OR(H194="",I194="",I194="Pending"),"",IF(I194="Win",IF(G194&gt;=100,H194*(G194/100),H194*(100/ABS(G194))),IF(I194="Loss",-H194,IF(I194="Push",0,""))))</f>
        <v/>
      </c>
      <c r="K194" s="26" t="str">
        <f aca="false">IF(H194="","",IF(K193="",K2,K193)+IF(J194="",0,J194))</f>
        <v/>
      </c>
      <c r="L194" s="28"/>
      <c r="M194" s="28"/>
    </row>
    <row r="195" customFormat="false" ht="18" hidden="false" customHeight="true" outlineLevel="0" collapsed="false">
      <c r="A195" s="29"/>
      <c r="B195" s="30"/>
      <c r="C195" s="30"/>
      <c r="D195" s="30"/>
      <c r="E195" s="30"/>
      <c r="F195" s="30"/>
      <c r="G195" s="30"/>
      <c r="H195" s="31"/>
      <c r="I195" s="30"/>
      <c r="J195" s="32" t="str">
        <f aca="false">IF(OR(H195="",I195="",I195="Pending"),"",IF(I195="Win",IF(G195&gt;=100,H195*(G195/100),H195*(100/ABS(G195))),IF(I195="Loss",-H195,IF(I195="Push",0,""))))</f>
        <v/>
      </c>
      <c r="K195" s="31" t="str">
        <f aca="false">IF(H195="","",IF(K194="",K2,K194)+IF(J195="",0,J195))</f>
        <v/>
      </c>
      <c r="L195" s="33"/>
      <c r="M195" s="33"/>
    </row>
    <row r="196" customFormat="false" ht="18" hidden="false" customHeight="true" outlineLevel="0" collapsed="false">
      <c r="A196" s="24"/>
      <c r="B196" s="25"/>
      <c r="C196" s="25"/>
      <c r="D196" s="25"/>
      <c r="E196" s="25"/>
      <c r="F196" s="25"/>
      <c r="G196" s="25"/>
      <c r="H196" s="26"/>
      <c r="I196" s="25"/>
      <c r="J196" s="27" t="str">
        <f aca="false">IF(OR(H196="",I196="",I196="Pending"),"",IF(I196="Win",IF(G196&gt;=100,H196*(G196/100),H196*(100/ABS(G196))),IF(I196="Loss",-H196,IF(I196="Push",0,""))))</f>
        <v/>
      </c>
      <c r="K196" s="26" t="str">
        <f aca="false">IF(H196="","",IF(K195="",K2,K195)+IF(J196="",0,J196))</f>
        <v/>
      </c>
      <c r="L196" s="28"/>
      <c r="M196" s="28"/>
    </row>
    <row r="197" customFormat="false" ht="18" hidden="false" customHeight="true" outlineLevel="0" collapsed="false">
      <c r="A197" s="29"/>
      <c r="B197" s="30"/>
      <c r="C197" s="30"/>
      <c r="D197" s="30"/>
      <c r="E197" s="30"/>
      <c r="F197" s="30"/>
      <c r="G197" s="30"/>
      <c r="H197" s="31"/>
      <c r="I197" s="30"/>
      <c r="J197" s="32" t="str">
        <f aca="false">IF(OR(H197="",I197="",I197="Pending"),"",IF(I197="Win",IF(G197&gt;=100,H197*(G197/100),H197*(100/ABS(G197))),IF(I197="Loss",-H197,IF(I197="Push",0,""))))</f>
        <v/>
      </c>
      <c r="K197" s="31" t="str">
        <f aca="false">IF(H197="","",IF(K196="",K2,K196)+IF(J197="",0,J197))</f>
        <v/>
      </c>
      <c r="L197" s="33"/>
      <c r="M197" s="33"/>
    </row>
    <row r="198" customFormat="false" ht="18" hidden="false" customHeight="true" outlineLevel="0" collapsed="false">
      <c r="A198" s="24"/>
      <c r="B198" s="25"/>
      <c r="C198" s="25"/>
      <c r="D198" s="25"/>
      <c r="E198" s="25"/>
      <c r="F198" s="25"/>
      <c r="G198" s="25"/>
      <c r="H198" s="26"/>
      <c r="I198" s="25"/>
      <c r="J198" s="27" t="str">
        <f aca="false">IF(OR(H198="",I198="",I198="Pending"),"",IF(I198="Win",IF(G198&gt;=100,H198*(G198/100),H198*(100/ABS(G198))),IF(I198="Loss",-H198,IF(I198="Push",0,""))))</f>
        <v/>
      </c>
      <c r="K198" s="26" t="str">
        <f aca="false">IF(H198="","",IF(K197="",K2,K197)+IF(J198="",0,J198))</f>
        <v/>
      </c>
      <c r="L198" s="28"/>
      <c r="M198" s="28"/>
    </row>
    <row r="199" customFormat="false" ht="18" hidden="false" customHeight="true" outlineLevel="0" collapsed="false">
      <c r="A199" s="29"/>
      <c r="B199" s="30"/>
      <c r="C199" s="30"/>
      <c r="D199" s="30"/>
      <c r="E199" s="30"/>
      <c r="F199" s="30"/>
      <c r="G199" s="30"/>
      <c r="H199" s="31"/>
      <c r="I199" s="30"/>
      <c r="J199" s="32" t="str">
        <f aca="false">IF(OR(H199="",I199="",I199="Pending"),"",IF(I199="Win",IF(G199&gt;=100,H199*(G199/100),H199*(100/ABS(G199))),IF(I199="Loss",-H199,IF(I199="Push",0,""))))</f>
        <v/>
      </c>
      <c r="K199" s="31" t="str">
        <f aca="false">IF(H199="","",IF(K198="",K2,K198)+IF(J199="",0,J199))</f>
        <v/>
      </c>
      <c r="L199" s="33"/>
      <c r="M199" s="33"/>
    </row>
    <row r="200" customFormat="false" ht="18" hidden="false" customHeight="true" outlineLevel="0" collapsed="false">
      <c r="A200" s="24"/>
      <c r="B200" s="25"/>
      <c r="C200" s="25"/>
      <c r="D200" s="25"/>
      <c r="E200" s="25"/>
      <c r="F200" s="25"/>
      <c r="G200" s="25"/>
      <c r="H200" s="26"/>
      <c r="I200" s="25"/>
      <c r="J200" s="27" t="str">
        <f aca="false">IF(OR(H200="",I200="",I200="Pending"),"",IF(I200="Win",IF(G200&gt;=100,H200*(G200/100),H200*(100/ABS(G200))),IF(I200="Loss",-H200,IF(I200="Push",0,""))))</f>
        <v/>
      </c>
      <c r="K200" s="26" t="str">
        <f aca="false">IF(H200="","",IF(K199="",K2,K199)+IF(J200="",0,J200))</f>
        <v/>
      </c>
      <c r="L200" s="28"/>
      <c r="M200" s="28"/>
    </row>
    <row r="201" customFormat="false" ht="18" hidden="false" customHeight="true" outlineLevel="0" collapsed="false">
      <c r="A201" s="29"/>
      <c r="B201" s="30"/>
      <c r="C201" s="30"/>
      <c r="D201" s="30"/>
      <c r="E201" s="30"/>
      <c r="F201" s="30"/>
      <c r="G201" s="30"/>
      <c r="H201" s="31"/>
      <c r="I201" s="30"/>
      <c r="J201" s="32" t="str">
        <f aca="false">IF(OR(H201="",I201="",I201="Pending"),"",IF(I201="Win",IF(G201&gt;=100,H201*(G201/100),H201*(100/ABS(G201))),IF(I201="Loss",-H201,IF(I201="Push",0,""))))</f>
        <v/>
      </c>
      <c r="K201" s="31" t="str">
        <f aca="false">IF(H201="","",IF(K200="",K2,K200)+IF(J201="",0,J201))</f>
        <v/>
      </c>
      <c r="L201" s="33"/>
      <c r="M201" s="33"/>
    </row>
    <row r="202" customFormat="false" ht="18" hidden="false" customHeight="true" outlineLevel="0" collapsed="false">
      <c r="A202" s="24"/>
      <c r="B202" s="25"/>
      <c r="C202" s="25"/>
      <c r="D202" s="25"/>
      <c r="E202" s="25"/>
      <c r="F202" s="25"/>
      <c r="G202" s="25"/>
      <c r="H202" s="26"/>
      <c r="I202" s="25"/>
      <c r="J202" s="27" t="str">
        <f aca="false">IF(OR(H202="",I202="",I202="Pending"),"",IF(I202="Win",IF(G202&gt;=100,H202*(G202/100),H202*(100/ABS(G202))),IF(I202="Loss",-H202,IF(I202="Push",0,""))))</f>
        <v/>
      </c>
      <c r="K202" s="26" t="str">
        <f aca="false">IF(H202="","",IF(K201="",K2,K201)+IF(J202="",0,J202))</f>
        <v/>
      </c>
      <c r="L202" s="28"/>
      <c r="M202" s="28"/>
    </row>
    <row r="203" customFormat="false" ht="18" hidden="false" customHeight="true" outlineLevel="0" collapsed="false">
      <c r="A203" s="29"/>
      <c r="B203" s="30"/>
      <c r="C203" s="30"/>
      <c r="D203" s="30"/>
      <c r="E203" s="30"/>
      <c r="F203" s="30"/>
      <c r="G203" s="30"/>
      <c r="H203" s="31"/>
      <c r="I203" s="30"/>
      <c r="J203" s="32" t="str">
        <f aca="false">IF(OR(H203="",I203="",I203="Pending"),"",IF(I203="Win",IF(G203&gt;=100,H203*(G203/100),H203*(100/ABS(G203))),IF(I203="Loss",-H203,IF(I203="Push",0,""))))</f>
        <v/>
      </c>
      <c r="K203" s="31" t="str">
        <f aca="false">IF(H203="","",IF(K202="",K2,K202)+IF(J203="",0,J203))</f>
        <v/>
      </c>
      <c r="L203" s="33"/>
      <c r="M203" s="33"/>
    </row>
  </sheetData>
  <mergeCells count="3">
    <mergeCell ref="A1:M1"/>
    <mergeCell ref="A2:J2"/>
    <mergeCell ref="L2:M2"/>
  </mergeCells>
  <conditionalFormatting sqref="A4:M203">
    <cfRule type="expression" priority="2" aboveAverage="0" equalAverage="0" bottom="0" percent="0" rank="0" text="" dxfId="0">
      <formula>$I4="Win"</formula>
    </cfRule>
    <cfRule type="expression" priority="3" aboveAverage="0" equalAverage="0" bottom="0" percent="0" rank="0" text="" dxfId="1">
      <formula>$I4="Loss"</formula>
    </cfRule>
    <cfRule type="expression" priority="4" aboveAverage="0" equalAverage="0" bottom="0" percent="0" rank="0" text="" dxfId="2">
      <formula>$I4="Push"</formula>
    </cfRule>
  </conditionalFormatting>
  <dataValidations count="4">
    <dataValidation allowBlank="true" error="Select from the list" errorStyle="stop" errorTitle="Invalid" operator="between" showDropDown="false" showErrorMessage="false" showInputMessage="false" sqref="B4:B203" type="list">
      <formula1>"College Basketball,College Football,NFL,NBA,MLB,NHL"</formula1>
      <formula2>0</formula2>
    </dataValidation>
    <dataValidation allowBlank="true" errorStyle="stop" operator="between" showDropDown="false" showErrorMessage="false" showInputMessage="false" sqref="D4:D203" type="list">
      <formula1>"Spread,Moneyline,Total (Over),Total (Under),Parlay,Prop,Futures,Teaser,Live"</formula1>
      <formula2>0</formula2>
    </dataValidation>
    <dataValidation allowBlank="true" errorStyle="stop" operator="between" showDropDown="false" showErrorMessage="false" showInputMessage="false" sqref="I4:I203" type="list">
      <formula1>"Win,Loss,Push,Pending"</formula1>
      <formula2>0</formula2>
    </dataValidation>
    <dataValidation allowBlank="true" errorStyle="stop" operator="between" showDropDown="false" showErrorMessage="false" showInputMessage="false" sqref="L4:L203" type="list">
      <formula1>"FanDuel,DraftKings,BetMGM,Caesars,ESPN Bet,Bet365,Other"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43.5" hidden="false" customHeight="true" outlineLevel="0" collapsed="false">
      <c r="B1" s="34" t="s">
        <v>43</v>
      </c>
      <c r="C1" s="34"/>
    </row>
    <row r="3" customFormat="false" ht="25.5" hidden="false" customHeight="true" outlineLevel="0" collapsed="false">
      <c r="B3" s="35" t="s">
        <v>44</v>
      </c>
      <c r="C3" s="35"/>
    </row>
    <row r="4" customFormat="false" ht="99.75" hidden="false" customHeight="true" outlineLevel="0" collapsed="false">
      <c r="B4" s="36" t="s">
        <v>45</v>
      </c>
      <c r="C4" s="37" t="s">
        <v>46</v>
      </c>
    </row>
    <row r="5" customFormat="false" ht="99.75" hidden="false" customHeight="true" outlineLevel="0" collapsed="false">
      <c r="B5" s="36" t="s">
        <v>47</v>
      </c>
      <c r="C5" s="37" t="s">
        <v>48</v>
      </c>
    </row>
    <row r="6" customFormat="false" ht="99.75" hidden="false" customHeight="true" outlineLevel="0" collapsed="false">
      <c r="B6" s="36" t="s">
        <v>49</v>
      </c>
      <c r="C6" s="37" t="s">
        <v>50</v>
      </c>
    </row>
    <row r="7" customFormat="false" ht="99.75" hidden="false" customHeight="true" outlineLevel="0" collapsed="false">
      <c r="B7" s="36" t="s">
        <v>51</v>
      </c>
      <c r="C7" s="37" t="s">
        <v>52</v>
      </c>
    </row>
    <row r="8" customFormat="false" ht="25.5" hidden="false" customHeight="true" outlineLevel="0" collapsed="false">
      <c r="B8" s="35" t="s">
        <v>53</v>
      </c>
      <c r="C8" s="35"/>
    </row>
    <row r="9" customFormat="false" ht="21.75" hidden="false" customHeight="true" outlineLevel="0" collapsed="false">
      <c r="B9" s="38" t="s">
        <v>54</v>
      </c>
      <c r="C9" s="39" t="s">
        <v>55</v>
      </c>
    </row>
    <row r="10" customFormat="false" ht="21.75" hidden="false" customHeight="true" outlineLevel="0" collapsed="false">
      <c r="B10" s="38" t="s">
        <v>56</v>
      </c>
      <c r="C10" s="39" t="s">
        <v>57</v>
      </c>
    </row>
    <row r="11" customFormat="false" ht="21.75" hidden="false" customHeight="true" outlineLevel="0" collapsed="false">
      <c r="B11" s="38" t="s">
        <v>58</v>
      </c>
      <c r="C11" s="39" t="s">
        <v>59</v>
      </c>
    </row>
    <row r="12" customFormat="false" ht="25.5" hidden="false" customHeight="true" outlineLevel="0" collapsed="false">
      <c r="B12" s="35" t="s">
        <v>60</v>
      </c>
      <c r="C12" s="35"/>
    </row>
    <row r="13" customFormat="false" ht="21.75" hidden="false" customHeight="true" outlineLevel="0" collapsed="false">
      <c r="B13" s="38" t="s">
        <v>61</v>
      </c>
      <c r="C13" s="39" t="s">
        <v>62</v>
      </c>
    </row>
    <row r="14" customFormat="false" ht="21.75" hidden="false" customHeight="true" outlineLevel="0" collapsed="false">
      <c r="B14" s="38" t="s">
        <v>63</v>
      </c>
      <c r="C14" s="39" t="s">
        <v>64</v>
      </c>
    </row>
    <row r="15" customFormat="false" ht="21.75" hidden="false" customHeight="true" outlineLevel="0" collapsed="false">
      <c r="B15" s="38" t="s">
        <v>15</v>
      </c>
      <c r="C15" s="39" t="s">
        <v>65</v>
      </c>
    </row>
    <row r="16" customFormat="false" ht="21.75" hidden="false" customHeight="true" outlineLevel="0" collapsed="false">
      <c r="B16" s="38" t="s">
        <v>16</v>
      </c>
      <c r="C16" s="39" t="s">
        <v>66</v>
      </c>
    </row>
    <row r="17" customFormat="false" ht="21.75" hidden="false" customHeight="true" outlineLevel="0" collapsed="false">
      <c r="B17" s="38" t="s">
        <v>17</v>
      </c>
      <c r="C17" s="39" t="s">
        <v>67</v>
      </c>
    </row>
    <row r="18" customFormat="false" ht="21.75" hidden="false" customHeight="true" outlineLevel="0" collapsed="false">
      <c r="B18" s="38" t="s">
        <v>18</v>
      </c>
      <c r="C18" s="39" t="s">
        <v>68</v>
      </c>
    </row>
    <row r="19" customFormat="false" ht="21.75" hidden="false" customHeight="true" outlineLevel="0" collapsed="false">
      <c r="B19" s="38" t="s">
        <v>19</v>
      </c>
      <c r="C19" s="39" t="s">
        <v>69</v>
      </c>
    </row>
    <row r="20" customFormat="false" ht="21.75" hidden="false" customHeight="true" outlineLevel="0" collapsed="false">
      <c r="B20" s="38" t="s">
        <v>20</v>
      </c>
      <c r="C20" s="39" t="s">
        <v>70</v>
      </c>
    </row>
    <row r="21" customFormat="false" ht="25.5" hidden="false" customHeight="true" outlineLevel="0" collapsed="false">
      <c r="B21" s="35" t="s">
        <v>71</v>
      </c>
      <c r="C21" s="35"/>
    </row>
    <row r="22" customFormat="false" ht="21.75" hidden="false" customHeight="true" outlineLevel="0" collapsed="false">
      <c r="B22" s="38" t="s">
        <v>72</v>
      </c>
      <c r="C22" s="39" t="s">
        <v>73</v>
      </c>
    </row>
    <row r="23" customFormat="false" ht="21.75" hidden="false" customHeight="true" outlineLevel="0" collapsed="false">
      <c r="B23" s="38" t="s">
        <v>74</v>
      </c>
      <c r="C23" s="39" t="s">
        <v>75</v>
      </c>
    </row>
    <row r="24" customFormat="false" ht="21.75" hidden="false" customHeight="true" outlineLevel="0" collapsed="false">
      <c r="B24" s="38" t="s">
        <v>76</v>
      </c>
      <c r="C24" s="39" t="s">
        <v>77</v>
      </c>
    </row>
  </sheetData>
  <mergeCells count="5">
    <mergeCell ref="B1:C1"/>
    <mergeCell ref="B3:C3"/>
    <mergeCell ref="B8:C8"/>
    <mergeCell ref="B12:C12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2026-02-28T23:42:58Z</dcterms:created>
  <dc:creator>openpyxl</dc:creator>
  <dc:description/>
  <dc:language>en-US</dc:language>
  <cp:lastModifiedBy/>
  <dcterms:modified xsi:type="dcterms:W3CDTF">2026-02-28T23:43:02Z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