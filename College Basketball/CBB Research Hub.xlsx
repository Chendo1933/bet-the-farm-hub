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am Database" sheetId="1" state="visible" r:id="rId3"/>
    <sheet name="Matchup Analyzer" sheetId="2" state="visible" r:id="rId4"/>
    <sheet name="Situational Tracker" sheetId="3" state="visible" r:id="rId5"/>
    <sheet name="Data Sources &amp; Ti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<sst xmlns="http://schemas.openxmlformats.org/spreadsheetml/2006/main" count="273" uniqueCount="191">
  <si>
    <t xml:space="preserve">CBB RESEARCH HUB  —  TEAM DATABASE  (2025-26)</t>
  </si>
  <si>
    <t xml:space="preserve">⚠  SAMPLE DATA — Update efficiency (T,U,W) weekly from kenpom.com  |  Update ATS/O-U weekly from teamrankings.com</t>
  </si>
  <si>
    <t xml:space="preserve">#</t>
  </si>
  <si>
    <t xml:space="preserve">Team</t>
  </si>
  <si>
    <t xml:space="preserve">Conf</t>
  </si>
  <si>
    <t xml:space="preserve">W</t>
  </si>
  <si>
    <t xml:space="preserve">L</t>
  </si>
  <si>
    <t xml:space="preserve">ATS W</t>
  </si>
  <si>
    <t xml:space="preserve">ATS L</t>
  </si>
  <si>
    <t xml:space="preserve">ATS Push</t>
  </si>
  <si>
    <t xml:space="preserve">ATS %</t>
  </si>
  <si>
    <t xml:space="preserve">H-ATS W</t>
  </si>
  <si>
    <t xml:space="preserve">H-ATS L</t>
  </si>
  <si>
    <t xml:space="preserve">Home ATS%</t>
  </si>
  <si>
    <t xml:space="preserve">A-ATS W</t>
  </si>
  <si>
    <t xml:space="preserve">A-ATS L</t>
  </si>
  <si>
    <t xml:space="preserve">Away ATS%</t>
  </si>
  <si>
    <t xml:space="preserve">Overs</t>
  </si>
  <si>
    <t xml:space="preserve">Unders</t>
  </si>
  <si>
    <t xml:space="preserve">O/U Push</t>
  </si>
  <si>
    <t xml:space="preserve">Over%</t>
  </si>
  <si>
    <t xml:space="preserve">Adj OE</t>
  </si>
  <si>
    <t xml:space="preserve">Adj DE</t>
  </si>
  <si>
    <t xml:space="preserve">Adj EM</t>
  </si>
  <si>
    <t xml:space="preserve">Tempo</t>
  </si>
  <si>
    <t xml:space="preserve">PPG For</t>
  </si>
  <si>
    <t xml:space="preserve">PPG Ag</t>
  </si>
  <si>
    <t xml:space="preserve">Last 5 ATS</t>
  </si>
  <si>
    <t xml:space="preserve">Duke</t>
  </si>
  <si>
    <t xml:space="preserve">ACC</t>
  </si>
  <si>
    <t xml:space="preserve">3-2</t>
  </si>
  <si>
    <t xml:space="preserve">Auburn</t>
  </si>
  <si>
    <t xml:space="preserve">SEC</t>
  </si>
  <si>
    <t xml:space="preserve">4-1</t>
  </si>
  <si>
    <t xml:space="preserve">Houston</t>
  </si>
  <si>
    <t xml:space="preserve">Big 12</t>
  </si>
  <si>
    <t xml:space="preserve">2-3</t>
  </si>
  <si>
    <t xml:space="preserve">Tennessee</t>
  </si>
  <si>
    <t xml:space="preserve">UConn</t>
  </si>
  <si>
    <t xml:space="preserve">Big East</t>
  </si>
  <si>
    <t xml:space="preserve">Kansas</t>
  </si>
  <si>
    <t xml:space="preserve">Michigan State</t>
  </si>
  <si>
    <t xml:space="preserve">Big Ten</t>
  </si>
  <si>
    <t xml:space="preserve">Marquette</t>
  </si>
  <si>
    <t xml:space="preserve">Purdue</t>
  </si>
  <si>
    <t xml:space="preserve">1-4</t>
  </si>
  <si>
    <t xml:space="preserve">Iowa State</t>
  </si>
  <si>
    <t xml:space="preserve">St. John's</t>
  </si>
  <si>
    <t xml:space="preserve">Illinois</t>
  </si>
  <si>
    <t xml:space="preserve">Alabama</t>
  </si>
  <si>
    <t xml:space="preserve">Arizona</t>
  </si>
  <si>
    <t xml:space="preserve">Florida</t>
  </si>
  <si>
    <t xml:space="preserve">Gonzaga</t>
  </si>
  <si>
    <t xml:space="preserve">WCC</t>
  </si>
  <si>
    <t xml:space="preserve">Creighton</t>
  </si>
  <si>
    <t xml:space="preserve">UCLA</t>
  </si>
  <si>
    <t xml:space="preserve">Ole Miss</t>
  </si>
  <si>
    <t xml:space="preserve">Kentucky</t>
  </si>
  <si>
    <t xml:space="preserve">Texas Tech</t>
  </si>
  <si>
    <t xml:space="preserve">Baylor</t>
  </si>
  <si>
    <t xml:space="preserve">UNC</t>
  </si>
  <si>
    <t xml:space="preserve">Wisconsin</t>
  </si>
  <si>
    <t xml:space="preserve">Indiana</t>
  </si>
  <si>
    <t xml:space="preserve">Ohio State</t>
  </si>
  <si>
    <t xml:space="preserve">Providence</t>
  </si>
  <si>
    <t xml:space="preserve">Missouri</t>
  </si>
  <si>
    <t xml:space="preserve">Michigan</t>
  </si>
  <si>
    <t xml:space="preserve">Villanova</t>
  </si>
  <si>
    <t xml:space="preserve">Arkansas</t>
  </si>
  <si>
    <t xml:space="preserve">Oregon</t>
  </si>
  <si>
    <t xml:space="preserve">Kansas State</t>
  </si>
  <si>
    <t xml:space="preserve">Texas A&amp;M</t>
  </si>
  <si>
    <t xml:space="preserve">Louisville</t>
  </si>
  <si>
    <t xml:space="preserve">Xavier</t>
  </si>
  <si>
    <t xml:space="preserve">Virginia</t>
  </si>
  <si>
    <t xml:space="preserve">NC State</t>
  </si>
  <si>
    <t xml:space="preserve">Clemson</t>
  </si>
  <si>
    <t xml:space="preserve">Iowa</t>
  </si>
  <si>
    <t xml:space="preserve">MATCHUP ANALYZER  —  Enter teams below to generate game breakdown</t>
  </si>
  <si>
    <t xml:space="preserve">GAME INPUTS</t>
  </si>
  <si>
    <t xml:space="preserve">Home Team</t>
  </si>
  <si>
    <t xml:space="preserve">← Select from dropdown</t>
  </si>
  <si>
    <t xml:space="preserve">Away Team</t>
  </si>
  <si>
    <t xml:space="preserve">Spread (Home)</t>
  </si>
  <si>
    <t xml:space="preserve">Negative = home favored (e.g. -5.5)</t>
  </si>
  <si>
    <t xml:space="preserve">Game Total</t>
  </si>
  <si>
    <t xml:space="preserve">e.g. 141.5</t>
  </si>
  <si>
    <t xml:space="preserve">Location</t>
  </si>
  <si>
    <t xml:space="preserve">Home / Away / Neutral</t>
  </si>
  <si>
    <t xml:space="preserve">Home Days Rest</t>
  </si>
  <si>
    <t xml:space="preserve">Days since last game</t>
  </si>
  <si>
    <t xml:space="preserve">Away Days Rest</t>
  </si>
  <si>
    <t xml:space="preserve">Conf Game?</t>
  </si>
  <si>
    <t xml:space="preserve">Yes / No</t>
  </si>
  <si>
    <t xml:space="preserve">TEAM STATS (auto-pulled from Team Database)</t>
  </si>
  <si>
    <t xml:space="preserve">Metric</t>
  </si>
  <si>
    <t xml:space="preserve">Edge</t>
  </si>
  <si>
    <t xml:space="preserve">Conference</t>
  </si>
  <si>
    <t xml:space="preserve">Record (W-L)</t>
  </si>
  <si>
    <t xml:space="preserve">ATS % (Overall)</t>
  </si>
  <si>
    <t xml:space="preserve">Home ATS %</t>
  </si>
  <si>
    <t xml:space="preserve">Away ATS %</t>
  </si>
  <si>
    <t xml:space="preserve">Over %</t>
  </si>
  <si>
    <t xml:space="preserve">Adj Off Eff</t>
  </si>
  <si>
    <t xml:space="preserve">Adj Def Eff</t>
  </si>
  <si>
    <t xml:space="preserve">Adj Eff Margin</t>
  </si>
  <si>
    <t xml:space="preserve">PPG Against</t>
  </si>
  <si>
    <t xml:space="preserve">GAME PROJECTIONS</t>
  </si>
  <si>
    <t xml:space="preserve">Projected Pace (Poss.)</t>
  </si>
  <si>
    <t xml:space="preserve">Average of both teams' tempo (possessions/game)</t>
  </si>
  <si>
    <t xml:space="preserve">Proj. Raw Total (pts)</t>
  </si>
  <si>
    <t xml:space="preserve">Simple avg of both offenses vs both defenses</t>
  </si>
  <si>
    <t xml:space="preserve">Line vs Proj. Total</t>
  </si>
  <si>
    <t xml:space="preserve">Positive = posted total above projection (lean Under)</t>
  </si>
  <si>
    <t xml:space="preserve">Home Eff. Edge</t>
  </si>
  <si>
    <t xml:space="preserve">Home AdjEM minus Away AdjEM (positive = home advantage)</t>
  </si>
  <si>
    <t xml:space="preserve">BETTING ANGLES  —  Key situational flags for this matchup</t>
  </si>
  <si>
    <t xml:space="preserve">Road Favorite?</t>
  </si>
  <si>
    <t xml:space="preserve">Home Underdog?</t>
  </si>
  <si>
    <t xml:space="preserve">Rest Advantage?</t>
  </si>
  <si>
    <t xml:space="preserve">High-Pace Matchup?</t>
  </si>
  <si>
    <t xml:space="preserve">Efficiency Mismatch?</t>
  </si>
  <si>
    <t xml:space="preserve">SITUATIONAL EDGES TRACKER  —  Log and track specific situational bet types</t>
  </si>
  <si>
    <t xml:space="preserve">Use this sheet to track spot bets: road favorites, home underdogs, bounce-back spots, revenge games, etc.</t>
  </si>
  <si>
    <t xml:space="preserve">Date</t>
  </si>
  <si>
    <t xml:space="preserve">Opponent</t>
  </si>
  <si>
    <t xml:space="preserve">Situation Type</t>
  </si>
  <si>
    <t xml:space="preserve">Spread</t>
  </si>
  <si>
    <t xml:space="preserve">Odds</t>
  </si>
  <si>
    <t xml:space="preserve">Result</t>
  </si>
  <si>
    <t xml:space="preserve">Notes</t>
  </si>
  <si>
    <t xml:space="preserve">SITUATIONAL SUMMARY  —  Auto-calculated W/L/Win% by spot type</t>
  </si>
  <si>
    <t xml:space="preserve">Total</t>
  </si>
  <si>
    <t xml:space="preserve">Win%</t>
  </si>
  <si>
    <t xml:space="preserve">Road Favorite</t>
  </si>
  <si>
    <t xml:space="preserve">Home Underdog</t>
  </si>
  <si>
    <t xml:space="preserve">Revenge Game</t>
  </si>
  <si>
    <t xml:space="preserve">Look-Ahead Spot</t>
  </si>
  <si>
    <t xml:space="preserve">Bounce-Back (after loss)</t>
  </si>
  <si>
    <t xml:space="preserve">Conf vs Non-Conf</t>
  </si>
  <si>
    <t xml:space="preserve">Short Rest</t>
  </si>
  <si>
    <t xml:space="preserve">Extended Rest</t>
  </si>
  <si>
    <t xml:space="preserve">Weather Impact</t>
  </si>
  <si>
    <t xml:space="preserve">Large Favorite (10+)</t>
  </si>
  <si>
    <t xml:space="preserve">Large Dog (+10)</t>
  </si>
  <si>
    <t xml:space="preserve">Neutral Site</t>
  </si>
  <si>
    <t xml:space="preserve">Other</t>
  </si>
  <si>
    <t xml:space="preserve">DATA SOURCES &amp; CBB BETTING TIPS</t>
  </si>
  <si>
    <t xml:space="preserve">UPDATING THE TEAM DATABASE</t>
  </si>
  <si>
    <t xml:space="preserve">KenPom (kenpom.com)</t>
  </si>
  <si>
    <t xml:space="preserve">Best source for Adj OE, Adj DE, Adj EM, and Tempo. Subscription ~$20/yr. Update columns T, U, W weekly. AdjEM = AdjOE - AdjDE (auto-calculated in column V).</t>
  </si>
  <si>
    <t xml:space="preserve">T-Rank (barttorvik.com)</t>
  </si>
  <si>
    <t xml:space="preserve">Free KenPom alternative. Has adjusted efficiency and tempo. Great backup source. Also has ATS records by team.</t>
  </si>
  <si>
    <t xml:space="preserve">TeamRankings (teamrankings.com)</t>
  </si>
  <si>
    <t xml:space="preserve">Best free source for ATS records (cols F-O) and Over/Under records (cols P-S). Update weekly. Navigate to NCAA Basketball → Trends.</t>
  </si>
  <si>
    <t xml:space="preserve">ESPN / CBS Sports</t>
  </si>
  <si>
    <t xml:space="preserve">Use for W-L records (cols D-E), PPG For (col X), PPG Against (col Y), and injury news before entering games into the Matchup Analyzer.</t>
  </si>
  <si>
    <t xml:space="preserve">HOW TO USE THE MATCHUP ANALYZER</t>
  </si>
  <si>
    <t xml:space="preserve">Step 1</t>
  </si>
  <si>
    <t xml:space="preserve">Select Home Team and Away Team from the dropdowns in C4 and C5. All stats pull automatically from the Team Database.</t>
  </si>
  <si>
    <t xml:space="preserve">Step 2</t>
  </si>
  <si>
    <t xml:space="preserve">Enter the spread in C6 (negative = home favored, e.g. -5.5), the game total in C7, and location in C8.</t>
  </si>
  <si>
    <t xml:space="preserve">Step 3</t>
  </si>
  <si>
    <t xml:space="preserve">Enter days of rest for each team (C9, C10). 2+ day rest advantage is meaningful in CBB.</t>
  </si>
  <si>
    <t xml:space="preserve">Step 4</t>
  </si>
  <si>
    <t xml:space="preserve">Review the Projections and Betting Angles sections. Flags auto-trigger based on the data.</t>
  </si>
  <si>
    <t xml:space="preserve">TOP CBB BETTING EDGES (2025-26)</t>
  </si>
  <si>
    <t xml:space="preserve">Home Underdogs</t>
  </si>
  <si>
    <t xml:space="preserve">Home underdogs cover at ~54% historically in CBB. Look for home dogs of +4 to +9 in conference games where the home crowd matters.</t>
  </si>
  <si>
    <t xml:space="preserve">Road Favorites</t>
  </si>
  <si>
    <t xml:space="preserve">Road teams laying 6+ points cover under 45% in CBB. Fading large road favorites is a persistent edge.</t>
  </si>
  <si>
    <t xml:space="preserve">Bounce-Back Spots</t>
  </si>
  <si>
    <t xml:space="preserve">Teams coming off a bad loss (10+ pts) at home cover at elevated rates. Look for teams getting up for a revenge spot.</t>
  </si>
  <si>
    <t xml:space="preserve">Pace Mismatches</t>
  </si>
  <si>
    <t xml:space="preserve">When a fast-tempo team (70+ poss) plays a slow team (&lt;65 poss), the slower team's pace usually dominates. Model the total using the slower team's pace.</t>
  </si>
  <si>
    <t xml:space="preserve">Conf vs Non-Conf ATS</t>
  </si>
  <si>
    <t xml:space="preserve">Track how teams perform ATS in conference vs non-conference. Some teams are sharp in conference play but bad out of it.</t>
  </si>
  <si>
    <t xml:space="preserve">Back-to-Backs</t>
  </si>
  <si>
    <t xml:space="preserve">CBB teams on zero rest (playing game 2 of a back-to-back) cover 4-5% less frequently. Use the rest fields in the Matchup Analyzer.</t>
  </si>
  <si>
    <t xml:space="preserve">Late-Season Conference Games</t>
  </si>
  <si>
    <t xml:space="preserve">Feb/March conference games have tighter spreads and more variance. Home dogs in rivalry games are particularly strong covers.</t>
  </si>
  <si>
    <t xml:space="preserve">KenPom vs Vegas Line</t>
  </si>
  <si>
    <t xml:space="preserve">If KenPom's predicted margin and the Vegas spread disagree by 4+ points, that's a strong signal. Tracking this has long-term value.</t>
  </si>
  <si>
    <t xml:space="preserve">KEY ADVANCED STATS EXPLAINED</t>
  </si>
  <si>
    <t xml:space="preserve">Adj Offensive Efficiency (AdjOE)</t>
  </si>
  <si>
    <t xml:space="preserve">Points scored per 100 possessions, adjusted for opponent quality. NCAA avg ~105. Top teams 115+.</t>
  </si>
  <si>
    <t xml:space="preserve">Adj Defensive Efficiency (AdjDE)</t>
  </si>
  <si>
    <t xml:space="preserve">Points allowed per 100 possessions, adjusted for opponent. Lower is better. Elite defenses are sub-93.</t>
  </si>
  <si>
    <t xml:space="preserve">Adj Efficiency Margin (AdjEM)</t>
  </si>
  <si>
    <t xml:space="preserve">AdjOE minus AdjDE. Best measure of overall team quality. Top 10 teams typically 20+. Column V in Team Database.</t>
  </si>
  <si>
    <t xml:space="preserve">Adjusted possessions per 40 minutes. High tempo = more possessions = higher-scoring games. Use for total projections.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</si>
</sst>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"/>
    <numFmt numFmtId="168" formatCode="\+0.0;\-0.0"/>
    <numFmt numFmtId="169" formatCode="mm/dd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FFE08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9"/>
      <color rgb="FFEBF2F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2137"/>
        <bgColor rgb="FF222222"/>
      </patternFill>
    </fill>
    <fill>
      <patternFill patternType="solid">
        <fgColor rgb="FF7B3F00"/>
        <bgColor rgb="FF5C4A1E"/>
      </patternFill>
    </fill>
    <fill>
      <patternFill patternType="solid">
        <fgColor rgb="FF1A3A5C"/>
        <bgColor rgb="FF1A4971"/>
      </patternFill>
    </fill>
    <fill>
      <patternFill patternType="solid">
        <fgColor rgb="FF1A4971"/>
        <bgColor rgb="FF2C5282"/>
      </patternFill>
    </fill>
    <fill>
      <patternFill patternType="solid">
        <fgColor rgb="FF2C6E9C"/>
        <bgColor rgb="FF2C5282"/>
      </patternFill>
    </fill>
    <fill>
      <patternFill patternType="solid">
        <fgColor rgb="FF1A6657"/>
        <bgColor rgb="FF2C5282"/>
      </patternFill>
    </fill>
    <fill>
      <patternFill patternType="solid">
        <fgColor rgb="FF5C4A1E"/>
        <bgColor rgb="FF7B3F00"/>
      </patternFill>
    </fill>
    <fill>
      <patternFill patternType="solid">
        <fgColor rgb="FF2C5282"/>
        <bgColor rgb="FF1A4971"/>
      </patternFill>
    </fill>
    <fill>
      <patternFill patternType="solid">
        <fgColor rgb="FFEBF2FA"/>
        <bgColor rgb="FFFFFFFF"/>
      </patternFill>
    </fill>
    <fill>
      <patternFill patternType="solid">
        <fgColor rgb="FFFFFFFF"/>
        <bgColor rgb="FFEBF2FA"/>
      </patternFill>
    </fill>
    <fill>
      <patternFill patternType="solid">
        <fgColor rgb="FFC9A84C"/>
        <bgColor rgb="FFFF9900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C9A84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657"/>
      <rgbColor rgb="FFCCCCCC"/>
      <rgbColor rgb="FF777777"/>
      <rgbColor rgb="FF9999FF"/>
      <rgbColor rgb="FF993366"/>
      <rgbColor rgb="FFFFF9C4"/>
      <rgbColor rgb="FFEBF2FA"/>
      <rgbColor rgb="FF660066"/>
      <rgbColor rgb="FFFF8080"/>
      <rgbColor rgb="FF1A4971"/>
      <rgbColor rgb="FFF8D7DA"/>
      <rgbColor rgb="FF000080"/>
      <rgbColor rgb="FFFF00FF"/>
      <rgbColor rgb="FFFFFF00"/>
      <rgbColor rgb="FF00FFFF"/>
      <rgbColor rgb="FF800080"/>
      <rgbColor rgb="FF800000"/>
      <rgbColor rgb="FF2C6E9C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A3A5C"/>
      <rgbColor rgb="FF339966"/>
      <rgbColor rgb="FF0D2137"/>
      <rgbColor rgb="FF5C4A1E"/>
      <rgbColor rgb="FF7B3F00"/>
      <rgbColor rgb="FF993366"/>
      <rgbColor rgb="FF2C5282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6"/>
    <col collapsed="false" customWidth="true" hidden="false" outlineLevel="0" max="8" min="6" style="0" width="8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7" min="16" style="0" width="8"/>
    <col collapsed="false" customWidth="true" hidden="false" outlineLevel="0" max="19" min="18" style="0" width="9"/>
    <col collapsed="false" customWidth="true" hidden="false" outlineLevel="0" max="22" min="20" style="0" width="10"/>
    <col collapsed="false" customWidth="true" hidden="false" outlineLevel="0" max="23" min="23" style="0" width="9"/>
    <col collapsed="false" customWidth="true" hidden="false" outlineLevel="0" max="25" min="24" style="0" width="10"/>
    <col collapsed="false" customWidth="true" hidden="false" outlineLevel="0" max="26" min="26" style="0" width="11"/>
  </cols>
  <sheetData>
    <row r="1" customFormat="false" ht="4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5" t="s">
        <v>13</v>
      </c>
      <c r="M3" s="6" t="s">
        <v>14</v>
      </c>
      <c r="N3" s="6" t="s">
        <v>15</v>
      </c>
      <c r="O3" s="6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3" t="s">
        <v>25</v>
      </c>
      <c r="Y3" s="3" t="s">
        <v>26</v>
      </c>
      <c r="Z3" s="3" t="s">
        <v>27</v>
      </c>
    </row>
    <row r="4" customFormat="false" ht="18" hidden="false" customHeight="true" outlineLevel="0" collapsed="false">
      <c r="A4" s="9" t="n">
        <f aca="false">RANK(V4,V$4:V$43,0)</f>
        <v>2</v>
      </c>
      <c r="B4" s="10" t="s">
        <v>28</v>
      </c>
      <c r="C4" s="11" t="s">
        <v>29</v>
      </c>
      <c r="D4" s="12" t="n">
        <v>23</v>
      </c>
      <c r="E4" s="12" t="n">
        <v>4</v>
      </c>
      <c r="F4" s="12" t="n">
        <v>16</v>
      </c>
      <c r="G4" s="12" t="n">
        <v>9</v>
      </c>
      <c r="H4" s="12" t="n">
        <v>2</v>
      </c>
      <c r="I4" s="13" t="n">
        <f aca="false">IFERROR(F4/(F4+G4),0)</f>
        <v>0.64</v>
      </c>
      <c r="J4" s="12" t="n">
        <v>11</v>
      </c>
      <c r="K4" s="12" t="n">
        <v>3</v>
      </c>
      <c r="L4" s="14" t="n">
        <f aca="false">IFERROR(J4/(J4+K4),0)</f>
        <v>0.785714285714286</v>
      </c>
      <c r="M4" s="12" t="n">
        <v>5</v>
      </c>
      <c r="N4" s="12" t="n">
        <v>6</v>
      </c>
      <c r="O4" s="14" t="n">
        <f aca="false">IFERROR(M4/(M4+N4),0)</f>
        <v>0.454545454545455</v>
      </c>
      <c r="P4" s="12" t="n">
        <v>13</v>
      </c>
      <c r="Q4" s="12" t="n">
        <v>13</v>
      </c>
      <c r="R4" s="12" t="n">
        <v>1</v>
      </c>
      <c r="S4" s="14" t="n">
        <f aca="false">IFERROR(P4/(P4+Q4),0)</f>
        <v>0.5</v>
      </c>
      <c r="T4" s="15" t="n">
        <v>122.4</v>
      </c>
      <c r="U4" s="15" t="n">
        <v>93.8</v>
      </c>
      <c r="V4" s="16" t="n">
        <f aca="false">T4-U4</f>
        <v>28.6</v>
      </c>
      <c r="W4" s="15" t="n">
        <v>68.2</v>
      </c>
      <c r="X4" s="15" t="n">
        <v>83.1</v>
      </c>
      <c r="Y4" s="15" t="n">
        <v>68.4</v>
      </c>
      <c r="Z4" s="11" t="s">
        <v>30</v>
      </c>
    </row>
    <row r="5" customFormat="false" ht="18" hidden="false" customHeight="true" outlineLevel="0" collapsed="false">
      <c r="A5" s="9" t="n">
        <f aca="false">RANK(V5,V$4:V$43,0)</f>
        <v>1</v>
      </c>
      <c r="B5" s="17" t="s">
        <v>31</v>
      </c>
      <c r="C5" s="18" t="s">
        <v>32</v>
      </c>
      <c r="D5" s="19" t="n">
        <v>24</v>
      </c>
      <c r="E5" s="19" t="n">
        <v>3</v>
      </c>
      <c r="F5" s="19" t="n">
        <v>18</v>
      </c>
      <c r="G5" s="19" t="n">
        <v>7</v>
      </c>
      <c r="H5" s="19" t="n">
        <v>2</v>
      </c>
      <c r="I5" s="20" t="n">
        <f aca="false">IFERROR(F5/(F5+G5),0)</f>
        <v>0.72</v>
      </c>
      <c r="J5" s="19" t="n">
        <v>12</v>
      </c>
      <c r="K5" s="19" t="n">
        <v>2</v>
      </c>
      <c r="L5" s="21" t="n">
        <f aca="false">IFERROR(J5/(J5+K5),0)</f>
        <v>0.857142857142857</v>
      </c>
      <c r="M5" s="19" t="n">
        <v>6</v>
      </c>
      <c r="N5" s="19" t="n">
        <v>5</v>
      </c>
      <c r="O5" s="21" t="n">
        <f aca="false">IFERROR(M5/(M5+N5),0)</f>
        <v>0.545454545454545</v>
      </c>
      <c r="P5" s="19" t="n">
        <v>14</v>
      </c>
      <c r="Q5" s="19" t="n">
        <v>12</v>
      </c>
      <c r="R5" s="19" t="n">
        <v>1</v>
      </c>
      <c r="S5" s="21" t="n">
        <f aca="false">IFERROR(P5/(P5+Q5),0)</f>
        <v>0.538461538461538</v>
      </c>
      <c r="T5" s="22" t="n">
        <v>121.8</v>
      </c>
      <c r="U5" s="22" t="n">
        <v>92.1</v>
      </c>
      <c r="V5" s="23" t="n">
        <f aca="false">T5-U5</f>
        <v>29.7</v>
      </c>
      <c r="W5" s="22" t="n">
        <v>71.4</v>
      </c>
      <c r="X5" s="22" t="n">
        <v>85.2</v>
      </c>
      <c r="Y5" s="22" t="n">
        <v>67.3</v>
      </c>
      <c r="Z5" s="18" t="s">
        <v>33</v>
      </c>
    </row>
    <row r="6" customFormat="false" ht="18" hidden="false" customHeight="true" outlineLevel="0" collapsed="false">
      <c r="A6" s="9" t="n">
        <f aca="false">RANK(V6,V$4:V$43,0)</f>
        <v>5</v>
      </c>
      <c r="B6" s="10" t="s">
        <v>34</v>
      </c>
      <c r="C6" s="11" t="s">
        <v>35</v>
      </c>
      <c r="D6" s="12" t="n">
        <v>22</v>
      </c>
      <c r="E6" s="12" t="n">
        <v>4</v>
      </c>
      <c r="F6" s="12" t="n">
        <v>17</v>
      </c>
      <c r="G6" s="12" t="n">
        <v>8</v>
      </c>
      <c r="H6" s="12" t="n">
        <v>2</v>
      </c>
      <c r="I6" s="13" t="n">
        <f aca="false">IFERROR(F6/(F6+G6),0)</f>
        <v>0.68</v>
      </c>
      <c r="J6" s="12" t="n">
        <v>11</v>
      </c>
      <c r="K6" s="12" t="n">
        <v>3</v>
      </c>
      <c r="L6" s="14" t="n">
        <f aca="false">IFERROR(J6/(J6+K6),0)</f>
        <v>0.785714285714286</v>
      </c>
      <c r="M6" s="12" t="n">
        <v>6</v>
      </c>
      <c r="N6" s="12" t="n">
        <v>5</v>
      </c>
      <c r="O6" s="14" t="n">
        <f aca="false">IFERROR(M6/(M6+N6),0)</f>
        <v>0.545454545454545</v>
      </c>
      <c r="P6" s="12" t="n">
        <v>11</v>
      </c>
      <c r="Q6" s="12" t="n">
        <v>15</v>
      </c>
      <c r="R6" s="12" t="n">
        <v>1</v>
      </c>
      <c r="S6" s="14" t="n">
        <f aca="false">IFERROR(P6/(P6+Q6),0)</f>
        <v>0.423076923076923</v>
      </c>
      <c r="T6" s="15" t="n">
        <v>115.2</v>
      </c>
      <c r="U6" s="15" t="n">
        <v>90.4</v>
      </c>
      <c r="V6" s="16" t="n">
        <f aca="false">T6-U6</f>
        <v>24.8</v>
      </c>
      <c r="W6" s="15" t="n">
        <v>63.8</v>
      </c>
      <c r="X6" s="15" t="n">
        <v>74.6</v>
      </c>
      <c r="Y6" s="15" t="n">
        <v>62.1</v>
      </c>
      <c r="Z6" s="11" t="s">
        <v>36</v>
      </c>
    </row>
    <row r="7" customFormat="false" ht="18" hidden="false" customHeight="true" outlineLevel="0" collapsed="false">
      <c r="A7" s="9" t="n">
        <f aca="false">RANK(V7,V$4:V$43,0)</f>
        <v>3</v>
      </c>
      <c r="B7" s="17" t="s">
        <v>37</v>
      </c>
      <c r="C7" s="18" t="s">
        <v>32</v>
      </c>
      <c r="D7" s="19" t="n">
        <v>22</v>
      </c>
      <c r="E7" s="19" t="n">
        <v>5</v>
      </c>
      <c r="F7" s="19" t="n">
        <v>16</v>
      </c>
      <c r="G7" s="19" t="n">
        <v>9</v>
      </c>
      <c r="H7" s="19" t="n">
        <v>2</v>
      </c>
      <c r="I7" s="20" t="n">
        <f aca="false">IFERROR(F7/(F7+G7),0)</f>
        <v>0.64</v>
      </c>
      <c r="J7" s="19" t="n">
        <v>12</v>
      </c>
      <c r="K7" s="19" t="n">
        <v>2</v>
      </c>
      <c r="L7" s="21" t="n">
        <f aca="false">IFERROR(J7/(J7+K7),0)</f>
        <v>0.857142857142857</v>
      </c>
      <c r="M7" s="19" t="n">
        <v>4</v>
      </c>
      <c r="N7" s="19" t="n">
        <v>7</v>
      </c>
      <c r="O7" s="21" t="n">
        <f aca="false">IFERROR(M7/(M7+N7),0)</f>
        <v>0.363636363636364</v>
      </c>
      <c r="P7" s="19" t="n">
        <v>13</v>
      </c>
      <c r="Q7" s="19" t="n">
        <v>13</v>
      </c>
      <c r="R7" s="19" t="n">
        <v>1</v>
      </c>
      <c r="S7" s="21" t="n">
        <f aca="false">IFERROR(P7/(P7+Q7),0)</f>
        <v>0.5</v>
      </c>
      <c r="T7" s="22" t="n">
        <v>116.8</v>
      </c>
      <c r="U7" s="22" t="n">
        <v>91.2</v>
      </c>
      <c r="V7" s="23" t="n">
        <f aca="false">T7-U7</f>
        <v>25.6</v>
      </c>
      <c r="W7" s="22" t="n">
        <v>65.1</v>
      </c>
      <c r="X7" s="22" t="n">
        <v>76.3</v>
      </c>
      <c r="Y7" s="22" t="n">
        <v>63.8</v>
      </c>
      <c r="Z7" s="18" t="s">
        <v>30</v>
      </c>
    </row>
    <row r="8" customFormat="false" ht="18" hidden="false" customHeight="true" outlineLevel="0" collapsed="false">
      <c r="A8" s="9" t="n">
        <f aca="false">RANK(V8,V$4:V$43,0)</f>
        <v>4</v>
      </c>
      <c r="B8" s="10" t="s">
        <v>38</v>
      </c>
      <c r="C8" s="11" t="s">
        <v>39</v>
      </c>
      <c r="D8" s="12" t="n">
        <v>21</v>
      </c>
      <c r="E8" s="12" t="n">
        <v>5</v>
      </c>
      <c r="F8" s="12" t="n">
        <v>15</v>
      </c>
      <c r="G8" s="12" t="n">
        <v>9</v>
      </c>
      <c r="H8" s="12" t="n">
        <v>3</v>
      </c>
      <c r="I8" s="13" t="n">
        <f aca="false">IFERROR(F8/(F8+G8),0)</f>
        <v>0.625</v>
      </c>
      <c r="J8" s="12" t="n">
        <v>11</v>
      </c>
      <c r="K8" s="12" t="n">
        <v>2</v>
      </c>
      <c r="L8" s="14" t="n">
        <f aca="false">IFERROR(J8/(J8+K8),0)</f>
        <v>0.846153846153846</v>
      </c>
      <c r="M8" s="12" t="n">
        <v>4</v>
      </c>
      <c r="N8" s="12" t="n">
        <v>7</v>
      </c>
      <c r="O8" s="14" t="n">
        <f aca="false">IFERROR(M8/(M8+N8),0)</f>
        <v>0.363636363636364</v>
      </c>
      <c r="P8" s="12" t="n">
        <v>12</v>
      </c>
      <c r="Q8" s="12" t="n">
        <v>14</v>
      </c>
      <c r="R8" s="12" t="n">
        <v>1</v>
      </c>
      <c r="S8" s="14" t="n">
        <f aca="false">IFERROR(P8/(P8+Q8),0)</f>
        <v>0.461538461538462</v>
      </c>
      <c r="T8" s="15" t="n">
        <v>119.4</v>
      </c>
      <c r="U8" s="15" t="n">
        <v>94.2</v>
      </c>
      <c r="V8" s="16" t="n">
        <f aca="false">T8-U8</f>
        <v>25.2</v>
      </c>
      <c r="W8" s="15" t="n">
        <v>65.8</v>
      </c>
      <c r="X8" s="15" t="n">
        <v>78.4</v>
      </c>
      <c r="Y8" s="15" t="n">
        <v>65.2</v>
      </c>
      <c r="Z8" s="11" t="s">
        <v>36</v>
      </c>
    </row>
    <row r="9" customFormat="false" ht="18" hidden="false" customHeight="true" outlineLevel="0" collapsed="false">
      <c r="A9" s="9" t="n">
        <f aca="false">RANK(V9,V$4:V$43,0)</f>
        <v>6</v>
      </c>
      <c r="B9" s="17" t="s">
        <v>40</v>
      </c>
      <c r="C9" s="18" t="s">
        <v>35</v>
      </c>
      <c r="D9" s="19" t="n">
        <v>20</v>
      </c>
      <c r="E9" s="19" t="n">
        <v>6</v>
      </c>
      <c r="F9" s="19" t="n">
        <v>15</v>
      </c>
      <c r="G9" s="19" t="n">
        <v>10</v>
      </c>
      <c r="H9" s="19" t="n">
        <v>2</v>
      </c>
      <c r="I9" s="20" t="n">
        <f aca="false">IFERROR(F9/(F9+G9),0)</f>
        <v>0.6</v>
      </c>
      <c r="J9" s="19" t="n">
        <v>11</v>
      </c>
      <c r="K9" s="19" t="n">
        <v>3</v>
      </c>
      <c r="L9" s="21" t="n">
        <f aca="false">IFERROR(J9/(J9+K9),0)</f>
        <v>0.785714285714286</v>
      </c>
      <c r="M9" s="19" t="n">
        <v>4</v>
      </c>
      <c r="N9" s="19" t="n">
        <v>7</v>
      </c>
      <c r="O9" s="21" t="n">
        <f aca="false">IFERROR(M9/(M9+N9),0)</f>
        <v>0.363636363636364</v>
      </c>
      <c r="P9" s="19" t="n">
        <v>13</v>
      </c>
      <c r="Q9" s="19" t="n">
        <v>13</v>
      </c>
      <c r="R9" s="19" t="n">
        <v>1</v>
      </c>
      <c r="S9" s="21" t="n">
        <f aca="false">IFERROR(P9/(P9+Q9),0)</f>
        <v>0.5</v>
      </c>
      <c r="T9" s="22" t="n">
        <v>118.6</v>
      </c>
      <c r="U9" s="22" t="n">
        <v>95.1</v>
      </c>
      <c r="V9" s="23" t="n">
        <f aca="false">T9-U9</f>
        <v>23.5</v>
      </c>
      <c r="W9" s="22" t="n">
        <v>69.8</v>
      </c>
      <c r="X9" s="22" t="n">
        <v>79.8</v>
      </c>
      <c r="Y9" s="22" t="n">
        <v>67.2</v>
      </c>
      <c r="Z9" s="18" t="s">
        <v>30</v>
      </c>
    </row>
    <row r="10" customFormat="false" ht="18" hidden="false" customHeight="true" outlineLevel="0" collapsed="false">
      <c r="A10" s="9" t="n">
        <f aca="false">RANK(V10,V$4:V$43,0)</f>
        <v>7</v>
      </c>
      <c r="B10" s="10" t="s">
        <v>41</v>
      </c>
      <c r="C10" s="11" t="s">
        <v>42</v>
      </c>
      <c r="D10" s="12" t="n">
        <v>21</v>
      </c>
      <c r="E10" s="12" t="n">
        <v>5</v>
      </c>
      <c r="F10" s="12" t="n">
        <v>16</v>
      </c>
      <c r="G10" s="12" t="n">
        <v>9</v>
      </c>
      <c r="H10" s="12" t="n">
        <v>2</v>
      </c>
      <c r="I10" s="13" t="n">
        <f aca="false">IFERROR(F10/(F10+G10),0)</f>
        <v>0.64</v>
      </c>
      <c r="J10" s="12" t="n">
        <v>12</v>
      </c>
      <c r="K10" s="12" t="n">
        <v>2</v>
      </c>
      <c r="L10" s="14" t="n">
        <f aca="false">IFERROR(J10/(J10+K10),0)</f>
        <v>0.857142857142857</v>
      </c>
      <c r="M10" s="12" t="n">
        <v>4</v>
      </c>
      <c r="N10" s="12" t="n">
        <v>7</v>
      </c>
      <c r="O10" s="14" t="n">
        <f aca="false">IFERROR(M10/(M10+N10),0)</f>
        <v>0.363636363636364</v>
      </c>
      <c r="P10" s="12" t="n">
        <v>12</v>
      </c>
      <c r="Q10" s="12" t="n">
        <v>14</v>
      </c>
      <c r="R10" s="12" t="n">
        <v>1</v>
      </c>
      <c r="S10" s="14" t="n">
        <f aca="false">IFERROR(P10/(P10+Q10),0)</f>
        <v>0.461538461538462</v>
      </c>
      <c r="T10" s="15" t="n">
        <v>117.2</v>
      </c>
      <c r="U10" s="15" t="n">
        <v>93.8</v>
      </c>
      <c r="V10" s="16" t="n">
        <f aca="false">T10-U10</f>
        <v>23.4</v>
      </c>
      <c r="W10" s="15" t="n">
        <v>67.4</v>
      </c>
      <c r="X10" s="15" t="n">
        <v>76.9</v>
      </c>
      <c r="Y10" s="15" t="n">
        <v>64.4</v>
      </c>
      <c r="Z10" s="11" t="s">
        <v>36</v>
      </c>
    </row>
    <row r="11" customFormat="false" ht="18" hidden="false" customHeight="true" outlineLevel="0" collapsed="false">
      <c r="A11" s="9" t="n">
        <f aca="false">RANK(V11,V$4:V$43,0)</f>
        <v>10</v>
      </c>
      <c r="B11" s="17" t="s">
        <v>43</v>
      </c>
      <c r="C11" s="18" t="s">
        <v>39</v>
      </c>
      <c r="D11" s="19" t="n">
        <v>20</v>
      </c>
      <c r="E11" s="19" t="n">
        <v>6</v>
      </c>
      <c r="F11" s="19" t="n">
        <v>17</v>
      </c>
      <c r="G11" s="19" t="n">
        <v>8</v>
      </c>
      <c r="H11" s="19" t="n">
        <v>2</v>
      </c>
      <c r="I11" s="20" t="n">
        <f aca="false">IFERROR(F11/(F11+G11),0)</f>
        <v>0.68</v>
      </c>
      <c r="J11" s="19" t="n">
        <v>11</v>
      </c>
      <c r="K11" s="19" t="n">
        <v>3</v>
      </c>
      <c r="L11" s="21" t="n">
        <f aca="false">IFERROR(J11/(J11+K11),0)</f>
        <v>0.785714285714286</v>
      </c>
      <c r="M11" s="19" t="n">
        <v>6</v>
      </c>
      <c r="N11" s="19" t="n">
        <v>4</v>
      </c>
      <c r="O11" s="21" t="n">
        <f aca="false">IFERROR(M11/(M11+N11),0)</f>
        <v>0.6</v>
      </c>
      <c r="P11" s="19" t="n">
        <v>14</v>
      </c>
      <c r="Q11" s="19" t="n">
        <v>12</v>
      </c>
      <c r="R11" s="19" t="n">
        <v>1</v>
      </c>
      <c r="S11" s="21" t="n">
        <f aca="false">IFERROR(P11/(P11+Q11),0)</f>
        <v>0.538461538461538</v>
      </c>
      <c r="T11" s="22" t="n">
        <v>118.2</v>
      </c>
      <c r="U11" s="22" t="n">
        <v>95.6</v>
      </c>
      <c r="V11" s="23" t="n">
        <f aca="false">T11-U11</f>
        <v>22.6</v>
      </c>
      <c r="W11" s="22" t="n">
        <v>70.2</v>
      </c>
      <c r="X11" s="22" t="n">
        <v>79.6</v>
      </c>
      <c r="Y11" s="22" t="n">
        <v>66.8</v>
      </c>
      <c r="Z11" s="18" t="s">
        <v>33</v>
      </c>
    </row>
    <row r="12" customFormat="false" ht="18" hidden="false" customHeight="true" outlineLevel="0" collapsed="false">
      <c r="A12" s="9" t="n">
        <f aca="false">RANK(V12,V$4:V$43,0)</f>
        <v>8</v>
      </c>
      <c r="B12" s="10" t="s">
        <v>44</v>
      </c>
      <c r="C12" s="11" t="s">
        <v>42</v>
      </c>
      <c r="D12" s="12" t="n">
        <v>20</v>
      </c>
      <c r="E12" s="12" t="n">
        <v>6</v>
      </c>
      <c r="F12" s="12" t="n">
        <v>14</v>
      </c>
      <c r="G12" s="12" t="n">
        <v>11</v>
      </c>
      <c r="H12" s="12" t="n">
        <v>2</v>
      </c>
      <c r="I12" s="13" t="n">
        <f aca="false">IFERROR(F12/(F12+G12),0)</f>
        <v>0.56</v>
      </c>
      <c r="J12" s="12" t="n">
        <v>10</v>
      </c>
      <c r="K12" s="12" t="n">
        <v>4</v>
      </c>
      <c r="L12" s="14" t="n">
        <f aca="false">IFERROR(J12/(J12+K12),0)</f>
        <v>0.714285714285714</v>
      </c>
      <c r="M12" s="12" t="n">
        <v>4</v>
      </c>
      <c r="N12" s="12" t="n">
        <v>8</v>
      </c>
      <c r="O12" s="14" t="n">
        <f aca="false">IFERROR(M12/(M12+N12),0)</f>
        <v>0.333333333333333</v>
      </c>
      <c r="P12" s="12" t="n">
        <v>11</v>
      </c>
      <c r="Q12" s="12" t="n">
        <v>15</v>
      </c>
      <c r="R12" s="12" t="n">
        <v>1</v>
      </c>
      <c r="S12" s="14" t="n">
        <f aca="false">IFERROR(P12/(P12+Q12),0)</f>
        <v>0.423076923076923</v>
      </c>
      <c r="T12" s="15" t="n">
        <v>120.8</v>
      </c>
      <c r="U12" s="15" t="n">
        <v>97.4</v>
      </c>
      <c r="V12" s="16" t="n">
        <f aca="false">T12-U12</f>
        <v>23.4</v>
      </c>
      <c r="W12" s="15" t="n">
        <v>64.4</v>
      </c>
      <c r="X12" s="15" t="n">
        <v>79.2</v>
      </c>
      <c r="Y12" s="15" t="n">
        <v>68.6</v>
      </c>
      <c r="Z12" s="11" t="s">
        <v>45</v>
      </c>
    </row>
    <row r="13" customFormat="false" ht="18" hidden="false" customHeight="true" outlineLevel="0" collapsed="false">
      <c r="A13" s="9" t="n">
        <f aca="false">RANK(V13,V$4:V$43,0)</f>
        <v>9</v>
      </c>
      <c r="B13" s="17" t="s">
        <v>46</v>
      </c>
      <c r="C13" s="18" t="s">
        <v>35</v>
      </c>
      <c r="D13" s="19" t="n">
        <v>20</v>
      </c>
      <c r="E13" s="19" t="n">
        <v>6</v>
      </c>
      <c r="F13" s="19" t="n">
        <v>16</v>
      </c>
      <c r="G13" s="19" t="n">
        <v>9</v>
      </c>
      <c r="H13" s="19" t="n">
        <v>2</v>
      </c>
      <c r="I13" s="20" t="n">
        <f aca="false">IFERROR(F13/(F13+G13),0)</f>
        <v>0.64</v>
      </c>
      <c r="J13" s="19" t="n">
        <v>11</v>
      </c>
      <c r="K13" s="19" t="n">
        <v>3</v>
      </c>
      <c r="L13" s="21" t="n">
        <f aca="false">IFERROR(J13/(J13+K13),0)</f>
        <v>0.785714285714286</v>
      </c>
      <c r="M13" s="19" t="n">
        <v>5</v>
      </c>
      <c r="N13" s="19" t="n">
        <v>6</v>
      </c>
      <c r="O13" s="21" t="n">
        <f aca="false">IFERROR(M13/(M13+N13),0)</f>
        <v>0.454545454545455</v>
      </c>
      <c r="P13" s="19" t="n">
        <v>13</v>
      </c>
      <c r="Q13" s="19" t="n">
        <v>13</v>
      </c>
      <c r="R13" s="19" t="n">
        <v>1</v>
      </c>
      <c r="S13" s="21" t="n">
        <f aca="false">IFERROR(P13/(P13+Q13),0)</f>
        <v>0.5</v>
      </c>
      <c r="T13" s="22" t="n">
        <v>116.4</v>
      </c>
      <c r="U13" s="22" t="n">
        <v>93.6</v>
      </c>
      <c r="V13" s="23" t="n">
        <f aca="false">T13-U13</f>
        <v>22.8</v>
      </c>
      <c r="W13" s="22" t="n">
        <v>67.2</v>
      </c>
      <c r="X13" s="22" t="n">
        <v>77.4</v>
      </c>
      <c r="Y13" s="22" t="n">
        <v>65.2</v>
      </c>
      <c r="Z13" s="18" t="s">
        <v>30</v>
      </c>
    </row>
    <row r="14" customFormat="false" ht="18" hidden="false" customHeight="true" outlineLevel="0" collapsed="false">
      <c r="A14" s="9" t="n">
        <f aca="false">RANK(V14,V$4:V$43,0)</f>
        <v>11</v>
      </c>
      <c r="B14" s="10" t="s">
        <v>47</v>
      </c>
      <c r="C14" s="11" t="s">
        <v>39</v>
      </c>
      <c r="D14" s="12" t="n">
        <v>22</v>
      </c>
      <c r="E14" s="12" t="n">
        <v>4</v>
      </c>
      <c r="F14" s="12" t="n">
        <v>18</v>
      </c>
      <c r="G14" s="12" t="n">
        <v>6</v>
      </c>
      <c r="H14" s="12" t="n">
        <v>3</v>
      </c>
      <c r="I14" s="13" t="n">
        <f aca="false">IFERROR(F14/(F14+G14),0)</f>
        <v>0.75</v>
      </c>
      <c r="J14" s="12" t="n">
        <v>12</v>
      </c>
      <c r="K14" s="12" t="n">
        <v>1</v>
      </c>
      <c r="L14" s="14" t="n">
        <f aca="false">IFERROR(J14/(J14+K14),0)</f>
        <v>0.923076923076923</v>
      </c>
      <c r="M14" s="12" t="n">
        <v>6</v>
      </c>
      <c r="N14" s="12" t="n">
        <v>4</v>
      </c>
      <c r="O14" s="14" t="n">
        <f aca="false">IFERROR(M14/(M14+N14),0)</f>
        <v>0.6</v>
      </c>
      <c r="P14" s="12" t="n">
        <v>16</v>
      </c>
      <c r="Q14" s="12" t="n">
        <v>10</v>
      </c>
      <c r="R14" s="12" t="n">
        <v>1</v>
      </c>
      <c r="S14" s="14" t="n">
        <f aca="false">IFERROR(P14/(P14+Q14),0)</f>
        <v>0.615384615384615</v>
      </c>
      <c r="T14" s="15" t="n">
        <v>117.8</v>
      </c>
      <c r="U14" s="15" t="n">
        <v>95.4</v>
      </c>
      <c r="V14" s="16" t="n">
        <f aca="false">T14-U14</f>
        <v>22.4</v>
      </c>
      <c r="W14" s="15" t="n">
        <v>71.6</v>
      </c>
      <c r="X14" s="15" t="n">
        <v>80.4</v>
      </c>
      <c r="Y14" s="15" t="n">
        <v>67.6</v>
      </c>
      <c r="Z14" s="11" t="s">
        <v>33</v>
      </c>
    </row>
    <row r="15" customFormat="false" ht="18" hidden="false" customHeight="true" outlineLevel="0" collapsed="false">
      <c r="A15" s="9" t="n">
        <f aca="false">RANK(V15,V$4:V$43,0)</f>
        <v>16</v>
      </c>
      <c r="B15" s="17" t="s">
        <v>48</v>
      </c>
      <c r="C15" s="18" t="s">
        <v>42</v>
      </c>
      <c r="D15" s="19" t="n">
        <v>19</v>
      </c>
      <c r="E15" s="19" t="n">
        <v>7</v>
      </c>
      <c r="F15" s="19" t="n">
        <v>14</v>
      </c>
      <c r="G15" s="19" t="n">
        <v>11</v>
      </c>
      <c r="H15" s="19" t="n">
        <v>2</v>
      </c>
      <c r="I15" s="20" t="n">
        <f aca="false">IFERROR(F15/(F15+G15),0)</f>
        <v>0.56</v>
      </c>
      <c r="J15" s="19" t="n">
        <v>10</v>
      </c>
      <c r="K15" s="19" t="n">
        <v>4</v>
      </c>
      <c r="L15" s="21" t="n">
        <f aca="false">IFERROR(J15/(J15+K15),0)</f>
        <v>0.714285714285714</v>
      </c>
      <c r="M15" s="19" t="n">
        <v>4</v>
      </c>
      <c r="N15" s="19" t="n">
        <v>7</v>
      </c>
      <c r="O15" s="21" t="n">
        <f aca="false">IFERROR(M15/(M15+N15),0)</f>
        <v>0.363636363636364</v>
      </c>
      <c r="P15" s="19" t="n">
        <v>10</v>
      </c>
      <c r="Q15" s="19" t="n">
        <v>16</v>
      </c>
      <c r="R15" s="19" t="n">
        <v>1</v>
      </c>
      <c r="S15" s="21" t="n">
        <f aca="false">IFERROR(P15/(P15+Q15),0)</f>
        <v>0.384615384615385</v>
      </c>
      <c r="T15" s="22" t="n">
        <v>116.2</v>
      </c>
      <c r="U15" s="22" t="n">
        <v>94.8</v>
      </c>
      <c r="V15" s="23" t="n">
        <f aca="false">T15-U15</f>
        <v>21.4</v>
      </c>
      <c r="W15" s="22" t="n">
        <v>68.6</v>
      </c>
      <c r="X15" s="22" t="n">
        <v>77.8</v>
      </c>
      <c r="Y15" s="22" t="n">
        <v>66.4</v>
      </c>
      <c r="Z15" s="18" t="s">
        <v>36</v>
      </c>
    </row>
    <row r="16" customFormat="false" ht="18" hidden="false" customHeight="true" outlineLevel="0" collapsed="false">
      <c r="A16" s="9" t="n">
        <f aca="false">RANK(V16,V$4:V$43,0)</f>
        <v>14</v>
      </c>
      <c r="B16" s="10" t="s">
        <v>49</v>
      </c>
      <c r="C16" s="11" t="s">
        <v>32</v>
      </c>
      <c r="D16" s="12" t="n">
        <v>19</v>
      </c>
      <c r="E16" s="12" t="n">
        <v>7</v>
      </c>
      <c r="F16" s="12" t="n">
        <v>15</v>
      </c>
      <c r="G16" s="12" t="n">
        <v>10</v>
      </c>
      <c r="H16" s="12" t="n">
        <v>2</v>
      </c>
      <c r="I16" s="13" t="n">
        <f aca="false">IFERROR(F16/(F16+G16),0)</f>
        <v>0.6</v>
      </c>
      <c r="J16" s="12" t="n">
        <v>11</v>
      </c>
      <c r="K16" s="12" t="n">
        <v>3</v>
      </c>
      <c r="L16" s="14" t="n">
        <f aca="false">IFERROR(J16/(J16+K16),0)</f>
        <v>0.785714285714286</v>
      </c>
      <c r="M16" s="12" t="n">
        <v>4</v>
      </c>
      <c r="N16" s="12" t="n">
        <v>7</v>
      </c>
      <c r="O16" s="14" t="n">
        <f aca="false">IFERROR(M16/(M16+N16),0)</f>
        <v>0.363636363636364</v>
      </c>
      <c r="P16" s="12" t="n">
        <v>12</v>
      </c>
      <c r="Q16" s="12" t="n">
        <v>14</v>
      </c>
      <c r="R16" s="12" t="n">
        <v>1</v>
      </c>
      <c r="S16" s="14" t="n">
        <f aca="false">IFERROR(P16/(P16+Q16),0)</f>
        <v>0.461538461538462</v>
      </c>
      <c r="T16" s="15" t="n">
        <v>117.4</v>
      </c>
      <c r="U16" s="15" t="n">
        <v>95.8</v>
      </c>
      <c r="V16" s="16" t="n">
        <f aca="false">T16-U16</f>
        <v>21.6</v>
      </c>
      <c r="W16" s="15" t="n">
        <v>72.8</v>
      </c>
      <c r="X16" s="15" t="n">
        <v>82.4</v>
      </c>
      <c r="Y16" s="15" t="n">
        <v>70.6</v>
      </c>
      <c r="Z16" s="11" t="s">
        <v>30</v>
      </c>
    </row>
    <row r="17" customFormat="false" ht="18" hidden="false" customHeight="true" outlineLevel="0" collapsed="false">
      <c r="A17" s="9" t="n">
        <f aca="false">RANK(V17,V$4:V$43,0)</f>
        <v>12</v>
      </c>
      <c r="B17" s="17" t="s">
        <v>50</v>
      </c>
      <c r="C17" s="18" t="s">
        <v>35</v>
      </c>
      <c r="D17" s="19" t="n">
        <v>18</v>
      </c>
      <c r="E17" s="19" t="n">
        <v>8</v>
      </c>
      <c r="F17" s="19" t="n">
        <v>14</v>
      </c>
      <c r="G17" s="19" t="n">
        <v>11</v>
      </c>
      <c r="H17" s="19" t="n">
        <v>2</v>
      </c>
      <c r="I17" s="20" t="n">
        <f aca="false">IFERROR(F17/(F17+G17),0)</f>
        <v>0.56</v>
      </c>
      <c r="J17" s="19" t="n">
        <v>10</v>
      </c>
      <c r="K17" s="19" t="n">
        <v>4</v>
      </c>
      <c r="L17" s="21" t="n">
        <f aca="false">IFERROR(J17/(J17+K17),0)</f>
        <v>0.714285714285714</v>
      </c>
      <c r="M17" s="19" t="n">
        <v>4</v>
      </c>
      <c r="N17" s="19" t="n">
        <v>8</v>
      </c>
      <c r="O17" s="21" t="n">
        <f aca="false">IFERROR(M17/(M17+N17),0)</f>
        <v>0.333333333333333</v>
      </c>
      <c r="P17" s="19" t="n">
        <v>12</v>
      </c>
      <c r="Q17" s="19" t="n">
        <v>14</v>
      </c>
      <c r="R17" s="19" t="n">
        <v>1</v>
      </c>
      <c r="S17" s="21" t="n">
        <f aca="false">IFERROR(P17/(P17+Q17),0)</f>
        <v>0.461538461538462</v>
      </c>
      <c r="T17" s="22" t="n">
        <v>119.2</v>
      </c>
      <c r="U17" s="22" t="n">
        <v>97.2</v>
      </c>
      <c r="V17" s="23" t="n">
        <f aca="false">T17-U17</f>
        <v>22</v>
      </c>
      <c r="W17" s="22" t="n">
        <v>70.8</v>
      </c>
      <c r="X17" s="22" t="n">
        <v>81.6</v>
      </c>
      <c r="Y17" s="22" t="n">
        <v>69.4</v>
      </c>
      <c r="Z17" s="18" t="s">
        <v>36</v>
      </c>
    </row>
    <row r="18" customFormat="false" ht="18" hidden="false" customHeight="true" outlineLevel="0" collapsed="false">
      <c r="A18" s="9" t="n">
        <f aca="false">RANK(V18,V$4:V$43,0)</f>
        <v>15</v>
      </c>
      <c r="B18" s="10" t="s">
        <v>51</v>
      </c>
      <c r="C18" s="11" t="s">
        <v>32</v>
      </c>
      <c r="D18" s="12" t="n">
        <v>20</v>
      </c>
      <c r="E18" s="12" t="n">
        <v>6</v>
      </c>
      <c r="F18" s="12" t="n">
        <v>16</v>
      </c>
      <c r="G18" s="12" t="n">
        <v>9</v>
      </c>
      <c r="H18" s="12" t="n">
        <v>2</v>
      </c>
      <c r="I18" s="13" t="n">
        <f aca="false">IFERROR(F18/(F18+G18),0)</f>
        <v>0.64</v>
      </c>
      <c r="J18" s="12" t="n">
        <v>11</v>
      </c>
      <c r="K18" s="12" t="n">
        <v>3</v>
      </c>
      <c r="L18" s="14" t="n">
        <f aca="false">IFERROR(J18/(J18+K18),0)</f>
        <v>0.785714285714286</v>
      </c>
      <c r="M18" s="12" t="n">
        <v>5</v>
      </c>
      <c r="N18" s="12" t="n">
        <v>6</v>
      </c>
      <c r="O18" s="14" t="n">
        <f aca="false">IFERROR(M18/(M18+N18),0)</f>
        <v>0.454545454545455</v>
      </c>
      <c r="P18" s="12" t="n">
        <v>14</v>
      </c>
      <c r="Q18" s="12" t="n">
        <v>12</v>
      </c>
      <c r="R18" s="12" t="n">
        <v>1</v>
      </c>
      <c r="S18" s="14" t="n">
        <f aca="false">IFERROR(P18/(P18+Q18),0)</f>
        <v>0.538461538461538</v>
      </c>
      <c r="T18" s="15" t="n">
        <v>116.8</v>
      </c>
      <c r="U18" s="15" t="n">
        <v>95.2</v>
      </c>
      <c r="V18" s="16" t="n">
        <f aca="false">T18-U18</f>
        <v>21.6</v>
      </c>
      <c r="W18" s="15" t="n">
        <v>69.4</v>
      </c>
      <c r="X18" s="15" t="n">
        <v>78.8</v>
      </c>
      <c r="Y18" s="15" t="n">
        <v>67.4</v>
      </c>
      <c r="Z18" s="11" t="s">
        <v>33</v>
      </c>
    </row>
    <row r="19" customFormat="false" ht="18" hidden="false" customHeight="true" outlineLevel="0" collapsed="false">
      <c r="A19" s="9" t="n">
        <f aca="false">RANK(V19,V$4:V$43,0)</f>
        <v>13</v>
      </c>
      <c r="B19" s="17" t="s">
        <v>52</v>
      </c>
      <c r="C19" s="18" t="s">
        <v>53</v>
      </c>
      <c r="D19" s="19" t="n">
        <v>20</v>
      </c>
      <c r="E19" s="19" t="n">
        <v>5</v>
      </c>
      <c r="F19" s="19" t="n">
        <v>14</v>
      </c>
      <c r="G19" s="19" t="n">
        <v>10</v>
      </c>
      <c r="H19" s="19" t="n">
        <v>2</v>
      </c>
      <c r="I19" s="20" t="n">
        <f aca="false">IFERROR(F19/(F19+G19),0)</f>
        <v>0.583333333333333</v>
      </c>
      <c r="J19" s="19" t="n">
        <v>10</v>
      </c>
      <c r="K19" s="19" t="n">
        <v>4</v>
      </c>
      <c r="L19" s="21" t="n">
        <f aca="false">IFERROR(J19/(J19+K19),0)</f>
        <v>0.714285714285714</v>
      </c>
      <c r="M19" s="19" t="n">
        <v>4</v>
      </c>
      <c r="N19" s="19" t="n">
        <v>7</v>
      </c>
      <c r="O19" s="21" t="n">
        <f aca="false">IFERROR(M19/(M19+N19),0)</f>
        <v>0.363636363636364</v>
      </c>
      <c r="P19" s="19" t="n">
        <v>12</v>
      </c>
      <c r="Q19" s="19" t="n">
        <v>13</v>
      </c>
      <c r="R19" s="19" t="n">
        <v>1</v>
      </c>
      <c r="S19" s="21" t="n">
        <f aca="false">IFERROR(P19/(P19+Q19),0)</f>
        <v>0.48</v>
      </c>
      <c r="T19" s="22" t="n">
        <v>120.2</v>
      </c>
      <c r="U19" s="22" t="n">
        <v>98.4</v>
      </c>
      <c r="V19" s="23" t="n">
        <f aca="false">T19-U19</f>
        <v>21.8</v>
      </c>
      <c r="W19" s="22" t="n">
        <v>72.4</v>
      </c>
      <c r="X19" s="22" t="n">
        <v>83.6</v>
      </c>
      <c r="Y19" s="22" t="n">
        <v>72.2</v>
      </c>
      <c r="Z19" s="18" t="s">
        <v>36</v>
      </c>
    </row>
    <row r="20" customFormat="false" ht="18" hidden="false" customHeight="true" outlineLevel="0" collapsed="false">
      <c r="A20" s="9" t="n">
        <f aca="false">RANK(V20,V$4:V$43,0)</f>
        <v>17</v>
      </c>
      <c r="B20" s="10" t="s">
        <v>54</v>
      </c>
      <c r="C20" s="11" t="s">
        <v>39</v>
      </c>
      <c r="D20" s="12" t="n">
        <v>18</v>
      </c>
      <c r="E20" s="12" t="n">
        <v>8</v>
      </c>
      <c r="F20" s="12" t="n">
        <v>14</v>
      </c>
      <c r="G20" s="12" t="n">
        <v>11</v>
      </c>
      <c r="H20" s="12" t="n">
        <v>2</v>
      </c>
      <c r="I20" s="13" t="n">
        <f aca="false">IFERROR(F20/(F20+G20),0)</f>
        <v>0.56</v>
      </c>
      <c r="J20" s="12" t="n">
        <v>10</v>
      </c>
      <c r="K20" s="12" t="n">
        <v>4</v>
      </c>
      <c r="L20" s="14" t="n">
        <f aca="false">IFERROR(J20/(J20+K20),0)</f>
        <v>0.714285714285714</v>
      </c>
      <c r="M20" s="12" t="n">
        <v>4</v>
      </c>
      <c r="N20" s="12" t="n">
        <v>8</v>
      </c>
      <c r="O20" s="14" t="n">
        <f aca="false">IFERROR(M20/(M20+N20),0)</f>
        <v>0.333333333333333</v>
      </c>
      <c r="P20" s="12" t="n">
        <v>11</v>
      </c>
      <c r="Q20" s="12" t="n">
        <v>15</v>
      </c>
      <c r="R20" s="12" t="n">
        <v>1</v>
      </c>
      <c r="S20" s="14" t="n">
        <f aca="false">IFERROR(P20/(P20+Q20),0)</f>
        <v>0.423076923076923</v>
      </c>
      <c r="T20" s="15" t="n">
        <v>117.6</v>
      </c>
      <c r="U20" s="15" t="n">
        <v>96.4</v>
      </c>
      <c r="V20" s="16" t="n">
        <f aca="false">T20-U20</f>
        <v>21.2</v>
      </c>
      <c r="W20" s="15" t="n">
        <v>69.2</v>
      </c>
      <c r="X20" s="15" t="n">
        <v>79.4</v>
      </c>
      <c r="Y20" s="15" t="n">
        <v>68.2</v>
      </c>
      <c r="Z20" s="11" t="s">
        <v>36</v>
      </c>
    </row>
    <row r="21" customFormat="false" ht="18" hidden="false" customHeight="true" outlineLevel="0" collapsed="false">
      <c r="A21" s="9" t="n">
        <f aca="false">RANK(V21,V$4:V$43,0)</f>
        <v>18</v>
      </c>
      <c r="B21" s="17" t="s">
        <v>55</v>
      </c>
      <c r="C21" s="18" t="s">
        <v>42</v>
      </c>
      <c r="D21" s="19" t="n">
        <v>18</v>
      </c>
      <c r="E21" s="19" t="n">
        <v>8</v>
      </c>
      <c r="F21" s="19" t="n">
        <v>14</v>
      </c>
      <c r="G21" s="19" t="n">
        <v>11</v>
      </c>
      <c r="H21" s="19" t="n">
        <v>2</v>
      </c>
      <c r="I21" s="20" t="n">
        <f aca="false">IFERROR(F21/(F21+G21),0)</f>
        <v>0.56</v>
      </c>
      <c r="J21" s="19" t="n">
        <v>10</v>
      </c>
      <c r="K21" s="19" t="n">
        <v>4</v>
      </c>
      <c r="L21" s="21" t="n">
        <f aca="false">IFERROR(J21/(J21+K21),0)</f>
        <v>0.714285714285714</v>
      </c>
      <c r="M21" s="19" t="n">
        <v>4</v>
      </c>
      <c r="N21" s="19" t="n">
        <v>8</v>
      </c>
      <c r="O21" s="21" t="n">
        <f aca="false">IFERROR(M21/(M21+N21),0)</f>
        <v>0.333333333333333</v>
      </c>
      <c r="P21" s="19" t="n">
        <v>11</v>
      </c>
      <c r="Q21" s="19" t="n">
        <v>14</v>
      </c>
      <c r="R21" s="19" t="n">
        <v>2</v>
      </c>
      <c r="S21" s="21" t="n">
        <f aca="false">IFERROR(P21/(P21+Q21),0)</f>
        <v>0.44</v>
      </c>
      <c r="T21" s="22" t="n">
        <v>116.4</v>
      </c>
      <c r="U21" s="22" t="n">
        <v>95.6</v>
      </c>
      <c r="V21" s="23" t="n">
        <f aca="false">T21-U21</f>
        <v>20.8</v>
      </c>
      <c r="W21" s="22" t="n">
        <v>68.8</v>
      </c>
      <c r="X21" s="22" t="n">
        <v>78.2</v>
      </c>
      <c r="Y21" s="22" t="n">
        <v>67.4</v>
      </c>
      <c r="Z21" s="18" t="s">
        <v>36</v>
      </c>
    </row>
    <row r="22" customFormat="false" ht="18" hidden="false" customHeight="true" outlineLevel="0" collapsed="false">
      <c r="A22" s="9" t="n">
        <f aca="false">RANK(V22,V$4:V$43,0)</f>
        <v>19</v>
      </c>
      <c r="B22" s="10" t="s">
        <v>56</v>
      </c>
      <c r="C22" s="11" t="s">
        <v>32</v>
      </c>
      <c r="D22" s="12" t="n">
        <v>18</v>
      </c>
      <c r="E22" s="12" t="n">
        <v>8</v>
      </c>
      <c r="F22" s="12" t="n">
        <v>15</v>
      </c>
      <c r="G22" s="12" t="n">
        <v>10</v>
      </c>
      <c r="H22" s="12" t="n">
        <v>2</v>
      </c>
      <c r="I22" s="13" t="n">
        <f aca="false">IFERROR(F22/(F22+G22),0)</f>
        <v>0.6</v>
      </c>
      <c r="J22" s="12" t="n">
        <v>10</v>
      </c>
      <c r="K22" s="12" t="n">
        <v>4</v>
      </c>
      <c r="L22" s="14" t="n">
        <f aca="false">IFERROR(J22/(J22+K22),0)</f>
        <v>0.714285714285714</v>
      </c>
      <c r="M22" s="12" t="n">
        <v>5</v>
      </c>
      <c r="N22" s="12" t="n">
        <v>5</v>
      </c>
      <c r="O22" s="14" t="n">
        <f aca="false">IFERROR(M22/(M22+N22),0)</f>
        <v>0.5</v>
      </c>
      <c r="P22" s="12" t="n">
        <v>12</v>
      </c>
      <c r="Q22" s="12" t="n">
        <v>14</v>
      </c>
      <c r="R22" s="12" t="n">
        <v>1</v>
      </c>
      <c r="S22" s="14" t="n">
        <f aca="false">IFERROR(P22/(P22+Q22),0)</f>
        <v>0.461538461538462</v>
      </c>
      <c r="T22" s="15" t="n">
        <v>115.8</v>
      </c>
      <c r="U22" s="15" t="n">
        <v>95.2</v>
      </c>
      <c r="V22" s="16" t="n">
        <f aca="false">T22-U22</f>
        <v>20.6</v>
      </c>
      <c r="W22" s="15" t="n">
        <v>70.4</v>
      </c>
      <c r="X22" s="15" t="n">
        <v>79.6</v>
      </c>
      <c r="Y22" s="15" t="n">
        <v>68.8</v>
      </c>
      <c r="Z22" s="11" t="s">
        <v>30</v>
      </c>
    </row>
    <row r="23" customFormat="false" ht="18" hidden="false" customHeight="true" outlineLevel="0" collapsed="false">
      <c r="A23" s="9" t="n">
        <f aca="false">RANK(V23,V$4:V$43,0)</f>
        <v>22</v>
      </c>
      <c r="B23" s="17" t="s">
        <v>57</v>
      </c>
      <c r="C23" s="18" t="s">
        <v>32</v>
      </c>
      <c r="D23" s="19" t="n">
        <v>18</v>
      </c>
      <c r="E23" s="19" t="n">
        <v>9</v>
      </c>
      <c r="F23" s="19" t="n">
        <v>13</v>
      </c>
      <c r="G23" s="19" t="n">
        <v>12</v>
      </c>
      <c r="H23" s="19" t="n">
        <v>2</v>
      </c>
      <c r="I23" s="20" t="n">
        <f aca="false">IFERROR(F23/(F23+G23),0)</f>
        <v>0.52</v>
      </c>
      <c r="J23" s="19" t="n">
        <v>9</v>
      </c>
      <c r="K23" s="19" t="n">
        <v>5</v>
      </c>
      <c r="L23" s="21" t="n">
        <f aca="false">IFERROR(J23/(J23+K23),0)</f>
        <v>0.642857142857143</v>
      </c>
      <c r="M23" s="19" t="n">
        <v>4</v>
      </c>
      <c r="N23" s="19" t="n">
        <v>8</v>
      </c>
      <c r="O23" s="21" t="n">
        <f aca="false">IFERROR(M23/(M23+N23),0)</f>
        <v>0.333333333333333</v>
      </c>
      <c r="P23" s="19" t="n">
        <v>10</v>
      </c>
      <c r="Q23" s="19" t="n">
        <v>16</v>
      </c>
      <c r="R23" s="19" t="n">
        <v>1</v>
      </c>
      <c r="S23" s="21" t="n">
        <f aca="false">IFERROR(P23/(P23+Q23),0)</f>
        <v>0.384615384615385</v>
      </c>
      <c r="T23" s="22" t="n">
        <v>116.2</v>
      </c>
      <c r="U23" s="22" t="n">
        <v>96.4</v>
      </c>
      <c r="V23" s="23" t="n">
        <f aca="false">T23-U23</f>
        <v>19.8</v>
      </c>
      <c r="W23" s="22" t="n">
        <v>71.2</v>
      </c>
      <c r="X23" s="22" t="n">
        <v>80.2</v>
      </c>
      <c r="Y23" s="22" t="n">
        <v>70.2</v>
      </c>
      <c r="Z23" s="18" t="s">
        <v>45</v>
      </c>
    </row>
    <row r="24" customFormat="false" ht="18" hidden="false" customHeight="true" outlineLevel="0" collapsed="false">
      <c r="A24" s="9" t="n">
        <f aca="false">RANK(V24,V$4:V$43,0)</f>
        <v>20</v>
      </c>
      <c r="B24" s="10" t="s">
        <v>58</v>
      </c>
      <c r="C24" s="11" t="s">
        <v>35</v>
      </c>
      <c r="D24" s="12" t="n">
        <v>17</v>
      </c>
      <c r="E24" s="12" t="n">
        <v>9</v>
      </c>
      <c r="F24" s="12" t="n">
        <v>14</v>
      </c>
      <c r="G24" s="12" t="n">
        <v>11</v>
      </c>
      <c r="H24" s="12" t="n">
        <v>2</v>
      </c>
      <c r="I24" s="13" t="n">
        <f aca="false">IFERROR(F24/(F24+G24),0)</f>
        <v>0.56</v>
      </c>
      <c r="J24" s="12" t="n">
        <v>10</v>
      </c>
      <c r="K24" s="12" t="n">
        <v>4</v>
      </c>
      <c r="L24" s="14" t="n">
        <f aca="false">IFERROR(J24/(J24+K24),0)</f>
        <v>0.714285714285714</v>
      </c>
      <c r="M24" s="12" t="n">
        <v>4</v>
      </c>
      <c r="N24" s="12" t="n">
        <v>8</v>
      </c>
      <c r="O24" s="14" t="n">
        <f aca="false">IFERROR(M24/(M24+N24),0)</f>
        <v>0.333333333333333</v>
      </c>
      <c r="P24" s="12" t="n">
        <v>12</v>
      </c>
      <c r="Q24" s="12" t="n">
        <v>14</v>
      </c>
      <c r="R24" s="12" t="n">
        <v>1</v>
      </c>
      <c r="S24" s="14" t="n">
        <f aca="false">IFERROR(P24/(P24+Q24),0)</f>
        <v>0.461538461538462</v>
      </c>
      <c r="T24" s="15" t="n">
        <v>113.8</v>
      </c>
      <c r="U24" s="15" t="n">
        <v>93.6</v>
      </c>
      <c r="V24" s="16" t="n">
        <f aca="false">T24-U24</f>
        <v>20.2</v>
      </c>
      <c r="W24" s="15" t="n">
        <v>65.8</v>
      </c>
      <c r="X24" s="15" t="n">
        <v>74.8</v>
      </c>
      <c r="Y24" s="15" t="n">
        <v>64.6</v>
      </c>
      <c r="Z24" s="11" t="s">
        <v>36</v>
      </c>
    </row>
    <row r="25" customFormat="false" ht="18" hidden="false" customHeight="true" outlineLevel="0" collapsed="false">
      <c r="A25" s="9" t="n">
        <f aca="false">RANK(V25,V$4:V$43,0)</f>
        <v>22</v>
      </c>
      <c r="B25" s="17" t="s">
        <v>59</v>
      </c>
      <c r="C25" s="18" t="s">
        <v>35</v>
      </c>
      <c r="D25" s="19" t="n">
        <v>17</v>
      </c>
      <c r="E25" s="19" t="n">
        <v>9</v>
      </c>
      <c r="F25" s="19" t="n">
        <v>13</v>
      </c>
      <c r="G25" s="19" t="n">
        <v>12</v>
      </c>
      <c r="H25" s="19" t="n">
        <v>2</v>
      </c>
      <c r="I25" s="20" t="n">
        <f aca="false">IFERROR(F25/(F25+G25),0)</f>
        <v>0.52</v>
      </c>
      <c r="J25" s="19" t="n">
        <v>9</v>
      </c>
      <c r="K25" s="19" t="n">
        <v>5</v>
      </c>
      <c r="L25" s="21" t="n">
        <f aca="false">IFERROR(J25/(J25+K25),0)</f>
        <v>0.642857142857143</v>
      </c>
      <c r="M25" s="19" t="n">
        <v>4</v>
      </c>
      <c r="N25" s="19" t="n">
        <v>8</v>
      </c>
      <c r="O25" s="21" t="n">
        <f aca="false">IFERROR(M25/(M25+N25),0)</f>
        <v>0.333333333333333</v>
      </c>
      <c r="P25" s="19" t="n">
        <v>10</v>
      </c>
      <c r="Q25" s="19" t="n">
        <v>16</v>
      </c>
      <c r="R25" s="19" t="n">
        <v>1</v>
      </c>
      <c r="S25" s="21" t="n">
        <f aca="false">IFERROR(P25/(P25+Q25),0)</f>
        <v>0.384615384615385</v>
      </c>
      <c r="T25" s="22" t="n">
        <v>115.2</v>
      </c>
      <c r="U25" s="22" t="n">
        <v>95.4</v>
      </c>
      <c r="V25" s="23" t="n">
        <f aca="false">T25-U25</f>
        <v>19.8</v>
      </c>
      <c r="W25" s="22" t="n">
        <v>70.2</v>
      </c>
      <c r="X25" s="22" t="n">
        <v>77.6</v>
      </c>
      <c r="Y25" s="22" t="n">
        <v>67.8</v>
      </c>
      <c r="Z25" s="18" t="s">
        <v>36</v>
      </c>
    </row>
    <row r="26" customFormat="false" ht="18" hidden="false" customHeight="true" outlineLevel="0" collapsed="false">
      <c r="A26" s="9" t="n">
        <f aca="false">RANK(V26,V$4:V$43,0)</f>
        <v>21</v>
      </c>
      <c r="B26" s="10" t="s">
        <v>60</v>
      </c>
      <c r="C26" s="11" t="s">
        <v>29</v>
      </c>
      <c r="D26" s="12" t="n">
        <v>17</v>
      </c>
      <c r="E26" s="12" t="n">
        <v>9</v>
      </c>
      <c r="F26" s="12" t="n">
        <v>13</v>
      </c>
      <c r="G26" s="12" t="n">
        <v>12</v>
      </c>
      <c r="H26" s="12" t="n">
        <v>2</v>
      </c>
      <c r="I26" s="13" t="n">
        <f aca="false">IFERROR(F26/(F26+G26),0)</f>
        <v>0.52</v>
      </c>
      <c r="J26" s="12" t="n">
        <v>10</v>
      </c>
      <c r="K26" s="12" t="n">
        <v>4</v>
      </c>
      <c r="L26" s="14" t="n">
        <f aca="false">IFERROR(J26/(J26+K26),0)</f>
        <v>0.714285714285714</v>
      </c>
      <c r="M26" s="12" t="n">
        <v>3</v>
      </c>
      <c r="N26" s="12" t="n">
        <v>9</v>
      </c>
      <c r="O26" s="14" t="n">
        <f aca="false">IFERROR(M26/(M26+N26),0)</f>
        <v>0.25</v>
      </c>
      <c r="P26" s="12" t="n">
        <v>11</v>
      </c>
      <c r="Q26" s="12" t="n">
        <v>15</v>
      </c>
      <c r="R26" s="12" t="n">
        <v>1</v>
      </c>
      <c r="S26" s="14" t="n">
        <f aca="false">IFERROR(P26/(P26+Q26),0)</f>
        <v>0.423076923076923</v>
      </c>
      <c r="T26" s="15" t="n">
        <v>118.4</v>
      </c>
      <c r="U26" s="15" t="n">
        <v>98.6</v>
      </c>
      <c r="V26" s="16" t="n">
        <f aca="false">T26-U26</f>
        <v>19.8</v>
      </c>
      <c r="W26" s="15" t="n">
        <v>72.6</v>
      </c>
      <c r="X26" s="15" t="n">
        <v>82.4</v>
      </c>
      <c r="Y26" s="15" t="n">
        <v>72.8</v>
      </c>
      <c r="Z26" s="11" t="s">
        <v>36</v>
      </c>
    </row>
    <row r="27" customFormat="false" ht="18" hidden="false" customHeight="true" outlineLevel="0" collapsed="false">
      <c r="A27" s="9" t="n">
        <f aca="false">RANK(V27,V$4:V$43,0)</f>
        <v>24</v>
      </c>
      <c r="B27" s="17" t="s">
        <v>61</v>
      </c>
      <c r="C27" s="18" t="s">
        <v>42</v>
      </c>
      <c r="D27" s="19" t="n">
        <v>17</v>
      </c>
      <c r="E27" s="19" t="n">
        <v>9</v>
      </c>
      <c r="F27" s="19" t="n">
        <v>14</v>
      </c>
      <c r="G27" s="19" t="n">
        <v>11</v>
      </c>
      <c r="H27" s="19" t="n">
        <v>2</v>
      </c>
      <c r="I27" s="20" t="n">
        <f aca="false">IFERROR(F27/(F27+G27),0)</f>
        <v>0.56</v>
      </c>
      <c r="J27" s="19" t="n">
        <v>10</v>
      </c>
      <c r="K27" s="19" t="n">
        <v>4</v>
      </c>
      <c r="L27" s="21" t="n">
        <f aca="false">IFERROR(J27/(J27+K27),0)</f>
        <v>0.714285714285714</v>
      </c>
      <c r="M27" s="19" t="n">
        <v>4</v>
      </c>
      <c r="N27" s="19" t="n">
        <v>8</v>
      </c>
      <c r="O27" s="21" t="n">
        <f aca="false">IFERROR(M27/(M27+N27),0)</f>
        <v>0.333333333333333</v>
      </c>
      <c r="P27" s="19" t="n">
        <v>11</v>
      </c>
      <c r="Q27" s="19" t="n">
        <v>15</v>
      </c>
      <c r="R27" s="19" t="n">
        <v>1</v>
      </c>
      <c r="S27" s="21" t="n">
        <f aca="false">IFERROR(P27/(P27+Q27),0)</f>
        <v>0.423076923076923</v>
      </c>
      <c r="T27" s="22" t="n">
        <v>112.4</v>
      </c>
      <c r="U27" s="22" t="n">
        <v>93.2</v>
      </c>
      <c r="V27" s="23" t="n">
        <f aca="false">T27-U27</f>
        <v>19.2</v>
      </c>
      <c r="W27" s="22" t="n">
        <v>63.4</v>
      </c>
      <c r="X27" s="22" t="n">
        <v>73.6</v>
      </c>
      <c r="Y27" s="22" t="n">
        <v>64.2</v>
      </c>
      <c r="Z27" s="18" t="s">
        <v>36</v>
      </c>
    </row>
    <row r="28" customFormat="false" ht="18" hidden="false" customHeight="true" outlineLevel="0" collapsed="false">
      <c r="A28" s="9" t="n">
        <f aca="false">RANK(V28,V$4:V$43,0)</f>
        <v>26</v>
      </c>
      <c r="B28" s="10" t="s">
        <v>62</v>
      </c>
      <c r="C28" s="11" t="s">
        <v>42</v>
      </c>
      <c r="D28" s="12" t="n">
        <v>16</v>
      </c>
      <c r="E28" s="12" t="n">
        <v>10</v>
      </c>
      <c r="F28" s="12" t="n">
        <v>13</v>
      </c>
      <c r="G28" s="12" t="n">
        <v>12</v>
      </c>
      <c r="H28" s="12" t="n">
        <v>2</v>
      </c>
      <c r="I28" s="13" t="n">
        <f aca="false">IFERROR(F28/(F28+G28),0)</f>
        <v>0.52</v>
      </c>
      <c r="J28" s="12" t="n">
        <v>9</v>
      </c>
      <c r="K28" s="12" t="n">
        <v>5</v>
      </c>
      <c r="L28" s="14" t="n">
        <f aca="false">IFERROR(J28/(J28+K28),0)</f>
        <v>0.642857142857143</v>
      </c>
      <c r="M28" s="12" t="n">
        <v>4</v>
      </c>
      <c r="N28" s="12" t="n">
        <v>8</v>
      </c>
      <c r="O28" s="14" t="n">
        <f aca="false">IFERROR(M28/(M28+N28),0)</f>
        <v>0.333333333333333</v>
      </c>
      <c r="P28" s="12" t="n">
        <v>10</v>
      </c>
      <c r="Q28" s="12" t="n">
        <v>16</v>
      </c>
      <c r="R28" s="12" t="n">
        <v>1</v>
      </c>
      <c r="S28" s="14" t="n">
        <f aca="false">IFERROR(P28/(P28+Q28),0)</f>
        <v>0.384615384615385</v>
      </c>
      <c r="T28" s="15" t="n">
        <v>113.6</v>
      </c>
      <c r="U28" s="15" t="n">
        <v>94.8</v>
      </c>
      <c r="V28" s="16" t="n">
        <f aca="false">T28-U28</f>
        <v>18.8</v>
      </c>
      <c r="W28" s="15" t="n">
        <v>69.8</v>
      </c>
      <c r="X28" s="15" t="n">
        <v>76.4</v>
      </c>
      <c r="Y28" s="15" t="n">
        <v>67.2</v>
      </c>
      <c r="Z28" s="11" t="s">
        <v>36</v>
      </c>
    </row>
    <row r="29" customFormat="false" ht="18" hidden="false" customHeight="true" outlineLevel="0" collapsed="false">
      <c r="A29" s="9" t="n">
        <f aca="false">RANK(V29,V$4:V$43,0)</f>
        <v>27</v>
      </c>
      <c r="B29" s="17" t="s">
        <v>63</v>
      </c>
      <c r="C29" s="18" t="s">
        <v>42</v>
      </c>
      <c r="D29" s="19" t="n">
        <v>16</v>
      </c>
      <c r="E29" s="19" t="n">
        <v>10</v>
      </c>
      <c r="F29" s="19" t="n">
        <v>14</v>
      </c>
      <c r="G29" s="19" t="n">
        <v>11</v>
      </c>
      <c r="H29" s="19" t="n">
        <v>2</v>
      </c>
      <c r="I29" s="20" t="n">
        <f aca="false">IFERROR(F29/(F29+G29),0)</f>
        <v>0.56</v>
      </c>
      <c r="J29" s="19" t="n">
        <v>10</v>
      </c>
      <c r="K29" s="19" t="n">
        <v>4</v>
      </c>
      <c r="L29" s="21" t="n">
        <f aca="false">IFERROR(J29/(J29+K29),0)</f>
        <v>0.714285714285714</v>
      </c>
      <c r="M29" s="19" t="n">
        <v>4</v>
      </c>
      <c r="N29" s="19" t="n">
        <v>8</v>
      </c>
      <c r="O29" s="21" t="n">
        <f aca="false">IFERROR(M29/(M29+N29),0)</f>
        <v>0.333333333333333</v>
      </c>
      <c r="P29" s="19" t="n">
        <v>11</v>
      </c>
      <c r="Q29" s="19" t="n">
        <v>15</v>
      </c>
      <c r="R29" s="19" t="n">
        <v>1</v>
      </c>
      <c r="S29" s="21" t="n">
        <f aca="false">IFERROR(P29/(P29+Q29),0)</f>
        <v>0.423076923076923</v>
      </c>
      <c r="T29" s="22" t="n">
        <v>114.2</v>
      </c>
      <c r="U29" s="22" t="n">
        <v>95.6</v>
      </c>
      <c r="V29" s="23" t="n">
        <f aca="false">T29-U29</f>
        <v>18.6</v>
      </c>
      <c r="W29" s="22" t="n">
        <v>69.2</v>
      </c>
      <c r="X29" s="22" t="n">
        <v>77.2</v>
      </c>
      <c r="Y29" s="22" t="n">
        <v>68.4</v>
      </c>
      <c r="Z29" s="18" t="s">
        <v>30</v>
      </c>
    </row>
    <row r="30" customFormat="false" ht="18" hidden="false" customHeight="true" outlineLevel="0" collapsed="false">
      <c r="A30" s="9" t="n">
        <f aca="false">RANK(V30,V$4:V$43,0)</f>
        <v>29</v>
      </c>
      <c r="B30" s="10" t="s">
        <v>64</v>
      </c>
      <c r="C30" s="11" t="s">
        <v>39</v>
      </c>
      <c r="D30" s="12" t="n">
        <v>16</v>
      </c>
      <c r="E30" s="12" t="n">
        <v>10</v>
      </c>
      <c r="F30" s="12" t="n">
        <v>13</v>
      </c>
      <c r="G30" s="12" t="n">
        <v>12</v>
      </c>
      <c r="H30" s="12" t="n">
        <v>2</v>
      </c>
      <c r="I30" s="13" t="n">
        <f aca="false">IFERROR(F30/(F30+G30),0)</f>
        <v>0.52</v>
      </c>
      <c r="J30" s="12" t="n">
        <v>9</v>
      </c>
      <c r="K30" s="12" t="n">
        <v>5</v>
      </c>
      <c r="L30" s="14" t="n">
        <f aca="false">IFERROR(J30/(J30+K30),0)</f>
        <v>0.642857142857143</v>
      </c>
      <c r="M30" s="12" t="n">
        <v>4</v>
      </c>
      <c r="N30" s="12" t="n">
        <v>8</v>
      </c>
      <c r="O30" s="14" t="n">
        <f aca="false">IFERROR(M30/(M30+N30),0)</f>
        <v>0.333333333333333</v>
      </c>
      <c r="P30" s="12" t="n">
        <v>10</v>
      </c>
      <c r="Q30" s="12" t="n">
        <v>16</v>
      </c>
      <c r="R30" s="12" t="n">
        <v>1</v>
      </c>
      <c r="S30" s="14" t="n">
        <f aca="false">IFERROR(P30/(P30+Q30),0)</f>
        <v>0.384615384615385</v>
      </c>
      <c r="T30" s="15" t="n">
        <v>112.8</v>
      </c>
      <c r="U30" s="15" t="n">
        <v>94.4</v>
      </c>
      <c r="V30" s="16" t="n">
        <f aca="false">T30-U30</f>
        <v>18.4</v>
      </c>
      <c r="W30" s="15" t="n">
        <v>66.6</v>
      </c>
      <c r="X30" s="15" t="n">
        <v>75.2</v>
      </c>
      <c r="Y30" s="15" t="n">
        <v>66.4</v>
      </c>
      <c r="Z30" s="11" t="s">
        <v>36</v>
      </c>
    </row>
    <row r="31" customFormat="false" ht="18" hidden="false" customHeight="true" outlineLevel="0" collapsed="false">
      <c r="A31" s="9" t="n">
        <f aca="false">RANK(V31,V$4:V$43,0)</f>
        <v>28</v>
      </c>
      <c r="B31" s="17" t="s">
        <v>65</v>
      </c>
      <c r="C31" s="18" t="s">
        <v>32</v>
      </c>
      <c r="D31" s="19" t="n">
        <v>16</v>
      </c>
      <c r="E31" s="19" t="n">
        <v>10</v>
      </c>
      <c r="F31" s="19" t="n">
        <v>14</v>
      </c>
      <c r="G31" s="19" t="n">
        <v>11</v>
      </c>
      <c r="H31" s="19" t="n">
        <v>2</v>
      </c>
      <c r="I31" s="20" t="n">
        <f aca="false">IFERROR(F31/(F31+G31),0)</f>
        <v>0.56</v>
      </c>
      <c r="J31" s="19" t="n">
        <v>10</v>
      </c>
      <c r="K31" s="19" t="n">
        <v>4</v>
      </c>
      <c r="L31" s="21" t="n">
        <f aca="false">IFERROR(J31/(J31+K31),0)</f>
        <v>0.714285714285714</v>
      </c>
      <c r="M31" s="19" t="n">
        <v>4</v>
      </c>
      <c r="N31" s="19" t="n">
        <v>8</v>
      </c>
      <c r="O31" s="21" t="n">
        <f aca="false">IFERROR(M31/(M31+N31),0)</f>
        <v>0.333333333333333</v>
      </c>
      <c r="P31" s="19" t="n">
        <v>11</v>
      </c>
      <c r="Q31" s="19" t="n">
        <v>15</v>
      </c>
      <c r="R31" s="19" t="n">
        <v>1</v>
      </c>
      <c r="S31" s="21" t="n">
        <f aca="false">IFERROR(P31/(P31+Q31),0)</f>
        <v>0.423076923076923</v>
      </c>
      <c r="T31" s="22" t="n">
        <v>114.8</v>
      </c>
      <c r="U31" s="22" t="n">
        <v>96.2</v>
      </c>
      <c r="V31" s="23" t="n">
        <f aca="false">T31-U31</f>
        <v>18.6</v>
      </c>
      <c r="W31" s="22" t="n">
        <v>70.8</v>
      </c>
      <c r="X31" s="22" t="n">
        <v>78.4</v>
      </c>
      <c r="Y31" s="22" t="n">
        <v>69.6</v>
      </c>
      <c r="Z31" s="18" t="s">
        <v>30</v>
      </c>
    </row>
    <row r="32" customFormat="false" ht="18" hidden="false" customHeight="true" outlineLevel="0" collapsed="false">
      <c r="A32" s="9" t="n">
        <f aca="false">RANK(V32,V$4:V$43,0)</f>
        <v>32</v>
      </c>
      <c r="B32" s="10" t="s">
        <v>66</v>
      </c>
      <c r="C32" s="11" t="s">
        <v>42</v>
      </c>
      <c r="D32" s="12" t="n">
        <v>15</v>
      </c>
      <c r="E32" s="12" t="n">
        <v>11</v>
      </c>
      <c r="F32" s="12" t="n">
        <v>12</v>
      </c>
      <c r="G32" s="12" t="n">
        <v>13</v>
      </c>
      <c r="H32" s="12" t="n">
        <v>2</v>
      </c>
      <c r="I32" s="13" t="n">
        <f aca="false">IFERROR(F32/(F32+G32),0)</f>
        <v>0.48</v>
      </c>
      <c r="J32" s="12" t="n">
        <v>9</v>
      </c>
      <c r="K32" s="12" t="n">
        <v>5</v>
      </c>
      <c r="L32" s="14" t="n">
        <f aca="false">IFERROR(J32/(J32+K32),0)</f>
        <v>0.642857142857143</v>
      </c>
      <c r="M32" s="12" t="n">
        <v>3</v>
      </c>
      <c r="N32" s="12" t="n">
        <v>9</v>
      </c>
      <c r="O32" s="14" t="n">
        <f aca="false">IFERROR(M32/(M32+N32),0)</f>
        <v>0.25</v>
      </c>
      <c r="P32" s="12" t="n">
        <v>10</v>
      </c>
      <c r="Q32" s="12" t="n">
        <v>16</v>
      </c>
      <c r="R32" s="12" t="n">
        <v>1</v>
      </c>
      <c r="S32" s="14" t="n">
        <f aca="false">IFERROR(P32/(P32+Q32),0)</f>
        <v>0.384615384615385</v>
      </c>
      <c r="T32" s="15" t="n">
        <v>112.4</v>
      </c>
      <c r="U32" s="15" t="n">
        <v>95.2</v>
      </c>
      <c r="V32" s="16" t="n">
        <f aca="false">T32-U32</f>
        <v>17.2</v>
      </c>
      <c r="W32" s="15" t="n">
        <v>68.4</v>
      </c>
      <c r="X32" s="15" t="n">
        <v>75.6</v>
      </c>
      <c r="Y32" s="15" t="n">
        <v>67.8</v>
      </c>
      <c r="Z32" s="11" t="s">
        <v>45</v>
      </c>
    </row>
    <row r="33" customFormat="false" ht="18" hidden="false" customHeight="true" outlineLevel="0" collapsed="false">
      <c r="A33" s="9" t="n">
        <f aca="false">RANK(V33,V$4:V$43,0)</f>
        <v>34</v>
      </c>
      <c r="B33" s="17" t="s">
        <v>67</v>
      </c>
      <c r="C33" s="18" t="s">
        <v>39</v>
      </c>
      <c r="D33" s="19" t="n">
        <v>15</v>
      </c>
      <c r="E33" s="19" t="n">
        <v>11</v>
      </c>
      <c r="F33" s="19" t="n">
        <v>12</v>
      </c>
      <c r="G33" s="19" t="n">
        <v>13</v>
      </c>
      <c r="H33" s="19" t="n">
        <v>2</v>
      </c>
      <c r="I33" s="20" t="n">
        <f aca="false">IFERROR(F33/(F33+G33),0)</f>
        <v>0.48</v>
      </c>
      <c r="J33" s="19" t="n">
        <v>8</v>
      </c>
      <c r="K33" s="19" t="n">
        <v>6</v>
      </c>
      <c r="L33" s="21" t="n">
        <f aca="false">IFERROR(J33/(J33+K33),0)</f>
        <v>0.571428571428571</v>
      </c>
      <c r="M33" s="19" t="n">
        <v>3</v>
      </c>
      <c r="N33" s="19" t="n">
        <v>9</v>
      </c>
      <c r="O33" s="21" t="n">
        <f aca="false">IFERROR(M33/(M33+N33),0)</f>
        <v>0.25</v>
      </c>
      <c r="P33" s="19" t="n">
        <v>9</v>
      </c>
      <c r="Q33" s="19" t="n">
        <v>17</v>
      </c>
      <c r="R33" s="19" t="n">
        <v>1</v>
      </c>
      <c r="S33" s="21" t="n">
        <f aca="false">IFERROR(P33/(P33+Q33),0)</f>
        <v>0.346153846153846</v>
      </c>
      <c r="T33" s="22" t="n">
        <v>113.6</v>
      </c>
      <c r="U33" s="22" t="n">
        <v>96.4</v>
      </c>
      <c r="V33" s="23" t="n">
        <f aca="false">T33-U33</f>
        <v>17.2</v>
      </c>
      <c r="W33" s="22" t="n">
        <v>67.8</v>
      </c>
      <c r="X33" s="22" t="n">
        <v>76.2</v>
      </c>
      <c r="Y33" s="22" t="n">
        <v>67.6</v>
      </c>
      <c r="Z33" s="18" t="s">
        <v>36</v>
      </c>
    </row>
    <row r="34" customFormat="false" ht="18" hidden="false" customHeight="true" outlineLevel="0" collapsed="false">
      <c r="A34" s="9" t="n">
        <f aca="false">RANK(V34,V$4:V$43,0)</f>
        <v>30</v>
      </c>
      <c r="B34" s="10" t="s">
        <v>68</v>
      </c>
      <c r="C34" s="11" t="s">
        <v>32</v>
      </c>
      <c r="D34" s="12" t="n">
        <v>15</v>
      </c>
      <c r="E34" s="12" t="n">
        <v>11</v>
      </c>
      <c r="F34" s="12" t="n">
        <v>13</v>
      </c>
      <c r="G34" s="12" t="n">
        <v>12</v>
      </c>
      <c r="H34" s="12" t="n">
        <v>2</v>
      </c>
      <c r="I34" s="13" t="n">
        <f aca="false">IFERROR(F34/(F34+G34),0)</f>
        <v>0.52</v>
      </c>
      <c r="J34" s="12" t="n">
        <v>9</v>
      </c>
      <c r="K34" s="12" t="n">
        <v>5</v>
      </c>
      <c r="L34" s="14" t="n">
        <f aca="false">IFERROR(J34/(J34+K34),0)</f>
        <v>0.642857142857143</v>
      </c>
      <c r="M34" s="12" t="n">
        <v>4</v>
      </c>
      <c r="N34" s="12" t="n">
        <v>8</v>
      </c>
      <c r="O34" s="14" t="n">
        <f aca="false">IFERROR(M34/(M34+N34),0)</f>
        <v>0.333333333333333</v>
      </c>
      <c r="P34" s="12" t="n">
        <v>10</v>
      </c>
      <c r="Q34" s="12" t="n">
        <v>16</v>
      </c>
      <c r="R34" s="12" t="n">
        <v>1</v>
      </c>
      <c r="S34" s="14" t="n">
        <f aca="false">IFERROR(P34/(P34+Q34),0)</f>
        <v>0.384615384615385</v>
      </c>
      <c r="T34" s="15" t="n">
        <v>114.4</v>
      </c>
      <c r="U34" s="15" t="n">
        <v>96.8</v>
      </c>
      <c r="V34" s="16" t="n">
        <f aca="false">T34-U34</f>
        <v>17.6</v>
      </c>
      <c r="W34" s="15" t="n">
        <v>71.8</v>
      </c>
      <c r="X34" s="15" t="n">
        <v>79.2</v>
      </c>
      <c r="Y34" s="15" t="n">
        <v>71.4</v>
      </c>
      <c r="Z34" s="11" t="s">
        <v>36</v>
      </c>
    </row>
    <row r="35" customFormat="false" ht="18" hidden="false" customHeight="true" outlineLevel="0" collapsed="false">
      <c r="A35" s="9" t="n">
        <f aca="false">RANK(V35,V$4:V$43,0)</f>
        <v>25</v>
      </c>
      <c r="B35" s="17" t="s">
        <v>69</v>
      </c>
      <c r="C35" s="18" t="s">
        <v>42</v>
      </c>
      <c r="D35" s="19" t="n">
        <v>16</v>
      </c>
      <c r="E35" s="19" t="n">
        <v>10</v>
      </c>
      <c r="F35" s="19" t="n">
        <v>14</v>
      </c>
      <c r="G35" s="19" t="n">
        <v>11</v>
      </c>
      <c r="H35" s="19" t="n">
        <v>2</v>
      </c>
      <c r="I35" s="20" t="n">
        <f aca="false">IFERROR(F35/(F35+G35),0)</f>
        <v>0.56</v>
      </c>
      <c r="J35" s="19" t="n">
        <v>10</v>
      </c>
      <c r="K35" s="19" t="n">
        <v>4</v>
      </c>
      <c r="L35" s="21" t="n">
        <f aca="false">IFERROR(J35/(J35+K35),0)</f>
        <v>0.714285714285714</v>
      </c>
      <c r="M35" s="19" t="n">
        <v>4</v>
      </c>
      <c r="N35" s="19" t="n">
        <v>8</v>
      </c>
      <c r="O35" s="21" t="n">
        <f aca="false">IFERROR(M35/(M35+N35),0)</f>
        <v>0.333333333333333</v>
      </c>
      <c r="P35" s="19" t="n">
        <v>12</v>
      </c>
      <c r="Q35" s="19" t="n">
        <v>14</v>
      </c>
      <c r="R35" s="19" t="n">
        <v>1</v>
      </c>
      <c r="S35" s="21" t="n">
        <f aca="false">IFERROR(P35/(P35+Q35),0)</f>
        <v>0.461538461538462</v>
      </c>
      <c r="T35" s="22" t="n">
        <v>115.8</v>
      </c>
      <c r="U35" s="22" t="n">
        <v>96.8</v>
      </c>
      <c r="V35" s="23" t="n">
        <f aca="false">T35-U35</f>
        <v>19</v>
      </c>
      <c r="W35" s="22" t="n">
        <v>71.4</v>
      </c>
      <c r="X35" s="22" t="n">
        <v>79.8</v>
      </c>
      <c r="Y35" s="22" t="n">
        <v>69.4</v>
      </c>
      <c r="Z35" s="18" t="s">
        <v>30</v>
      </c>
    </row>
    <row r="36" customFormat="false" ht="18" hidden="false" customHeight="true" outlineLevel="0" collapsed="false">
      <c r="A36" s="9" t="n">
        <f aca="false">RANK(V36,V$4:V$43,0)</f>
        <v>30</v>
      </c>
      <c r="B36" s="10" t="s">
        <v>70</v>
      </c>
      <c r="C36" s="11" t="s">
        <v>35</v>
      </c>
      <c r="D36" s="12" t="n">
        <v>15</v>
      </c>
      <c r="E36" s="12" t="n">
        <v>11</v>
      </c>
      <c r="F36" s="12" t="n">
        <v>13</v>
      </c>
      <c r="G36" s="12" t="n">
        <v>12</v>
      </c>
      <c r="H36" s="12" t="n">
        <v>2</v>
      </c>
      <c r="I36" s="13" t="n">
        <f aca="false">IFERROR(F36/(F36+G36),0)</f>
        <v>0.52</v>
      </c>
      <c r="J36" s="12" t="n">
        <v>9</v>
      </c>
      <c r="K36" s="12" t="n">
        <v>5</v>
      </c>
      <c r="L36" s="14" t="n">
        <f aca="false">IFERROR(J36/(J36+K36),0)</f>
        <v>0.642857142857143</v>
      </c>
      <c r="M36" s="12" t="n">
        <v>4</v>
      </c>
      <c r="N36" s="12" t="n">
        <v>8</v>
      </c>
      <c r="O36" s="14" t="n">
        <f aca="false">IFERROR(M36/(M36+N36),0)</f>
        <v>0.333333333333333</v>
      </c>
      <c r="P36" s="12" t="n">
        <v>10</v>
      </c>
      <c r="Q36" s="12" t="n">
        <v>16</v>
      </c>
      <c r="R36" s="12" t="n">
        <v>1</v>
      </c>
      <c r="S36" s="14" t="n">
        <f aca="false">IFERROR(P36/(P36+Q36),0)</f>
        <v>0.384615384615385</v>
      </c>
      <c r="T36" s="15" t="n">
        <v>113.2</v>
      </c>
      <c r="U36" s="15" t="n">
        <v>95.6</v>
      </c>
      <c r="V36" s="16" t="n">
        <f aca="false">T36-U36</f>
        <v>17.6</v>
      </c>
      <c r="W36" s="15" t="n">
        <v>68.8</v>
      </c>
      <c r="X36" s="15" t="n">
        <v>75.8</v>
      </c>
      <c r="Y36" s="15" t="n">
        <v>67.4</v>
      </c>
      <c r="Z36" s="11" t="s">
        <v>36</v>
      </c>
    </row>
    <row r="37" customFormat="false" ht="18" hidden="false" customHeight="true" outlineLevel="0" collapsed="false">
      <c r="A37" s="9" t="n">
        <f aca="false">RANK(V37,V$4:V$43,0)</f>
        <v>36</v>
      </c>
      <c r="B37" s="17" t="s">
        <v>71</v>
      </c>
      <c r="C37" s="18" t="s">
        <v>32</v>
      </c>
      <c r="D37" s="19" t="n">
        <v>15</v>
      </c>
      <c r="E37" s="19" t="n">
        <v>11</v>
      </c>
      <c r="F37" s="19" t="n">
        <v>12</v>
      </c>
      <c r="G37" s="19" t="n">
        <v>13</v>
      </c>
      <c r="H37" s="19" t="n">
        <v>2</v>
      </c>
      <c r="I37" s="20" t="n">
        <f aca="false">IFERROR(F37/(F37+G37),0)</f>
        <v>0.48</v>
      </c>
      <c r="J37" s="19" t="n">
        <v>8</v>
      </c>
      <c r="K37" s="19" t="n">
        <v>6</v>
      </c>
      <c r="L37" s="21" t="n">
        <f aca="false">IFERROR(J37/(J37+K37),0)</f>
        <v>0.571428571428571</v>
      </c>
      <c r="M37" s="19" t="n">
        <v>4</v>
      </c>
      <c r="N37" s="19" t="n">
        <v>8</v>
      </c>
      <c r="O37" s="21" t="n">
        <f aca="false">IFERROR(M37/(M37+N37),0)</f>
        <v>0.333333333333333</v>
      </c>
      <c r="P37" s="19" t="n">
        <v>10</v>
      </c>
      <c r="Q37" s="19" t="n">
        <v>16</v>
      </c>
      <c r="R37" s="19" t="n">
        <v>1</v>
      </c>
      <c r="S37" s="21" t="n">
        <f aca="false">IFERROR(P37/(P37+Q37),0)</f>
        <v>0.384615384615385</v>
      </c>
      <c r="T37" s="22" t="n">
        <v>112.8</v>
      </c>
      <c r="U37" s="22" t="n">
        <v>95.8</v>
      </c>
      <c r="V37" s="23" t="n">
        <f aca="false">T37-U37</f>
        <v>17</v>
      </c>
      <c r="W37" s="22" t="n">
        <v>67.4</v>
      </c>
      <c r="X37" s="22" t="n">
        <v>74.8</v>
      </c>
      <c r="Y37" s="22" t="n">
        <v>67.2</v>
      </c>
      <c r="Z37" s="18" t="s">
        <v>45</v>
      </c>
    </row>
    <row r="38" customFormat="false" ht="18" hidden="false" customHeight="true" outlineLevel="0" collapsed="false">
      <c r="A38" s="9" t="n">
        <f aca="false">RANK(V38,V$4:V$43,0)</f>
        <v>32</v>
      </c>
      <c r="B38" s="10" t="s">
        <v>72</v>
      </c>
      <c r="C38" s="11" t="s">
        <v>29</v>
      </c>
      <c r="D38" s="12" t="n">
        <v>15</v>
      </c>
      <c r="E38" s="12" t="n">
        <v>11</v>
      </c>
      <c r="F38" s="12" t="n">
        <v>13</v>
      </c>
      <c r="G38" s="12" t="n">
        <v>12</v>
      </c>
      <c r="H38" s="12" t="n">
        <v>2</v>
      </c>
      <c r="I38" s="13" t="n">
        <f aca="false">IFERROR(F38/(F38+G38),0)</f>
        <v>0.52</v>
      </c>
      <c r="J38" s="12" t="n">
        <v>9</v>
      </c>
      <c r="K38" s="12" t="n">
        <v>5</v>
      </c>
      <c r="L38" s="14" t="n">
        <f aca="false">IFERROR(J38/(J38+K38),0)</f>
        <v>0.642857142857143</v>
      </c>
      <c r="M38" s="12" t="n">
        <v>4</v>
      </c>
      <c r="N38" s="12" t="n">
        <v>8</v>
      </c>
      <c r="O38" s="14" t="n">
        <f aca="false">IFERROR(M38/(M38+N38),0)</f>
        <v>0.333333333333333</v>
      </c>
      <c r="P38" s="12" t="n">
        <v>11</v>
      </c>
      <c r="Q38" s="12" t="n">
        <v>15</v>
      </c>
      <c r="R38" s="12" t="n">
        <v>1</v>
      </c>
      <c r="S38" s="14" t="n">
        <f aca="false">IFERROR(P38/(P38+Q38),0)</f>
        <v>0.423076923076923</v>
      </c>
      <c r="T38" s="15" t="n">
        <v>113.4</v>
      </c>
      <c r="U38" s="15" t="n">
        <v>96.2</v>
      </c>
      <c r="V38" s="16" t="n">
        <f aca="false">T38-U38</f>
        <v>17.2</v>
      </c>
      <c r="W38" s="15" t="n">
        <v>70.2</v>
      </c>
      <c r="X38" s="15" t="n">
        <v>76.4</v>
      </c>
      <c r="Y38" s="15" t="n">
        <v>68.8</v>
      </c>
      <c r="Z38" s="11" t="s">
        <v>30</v>
      </c>
    </row>
    <row r="39" customFormat="false" ht="18" hidden="false" customHeight="true" outlineLevel="0" collapsed="false">
      <c r="A39" s="9" t="n">
        <f aca="false">RANK(V39,V$4:V$43,0)</f>
        <v>36</v>
      </c>
      <c r="B39" s="17" t="s">
        <v>73</v>
      </c>
      <c r="C39" s="18" t="s">
        <v>39</v>
      </c>
      <c r="D39" s="19" t="n">
        <v>15</v>
      </c>
      <c r="E39" s="19" t="n">
        <v>11</v>
      </c>
      <c r="F39" s="19" t="n">
        <v>12</v>
      </c>
      <c r="G39" s="19" t="n">
        <v>13</v>
      </c>
      <c r="H39" s="19" t="n">
        <v>2</v>
      </c>
      <c r="I39" s="20" t="n">
        <f aca="false">IFERROR(F39/(F39+G39),0)</f>
        <v>0.48</v>
      </c>
      <c r="J39" s="19" t="n">
        <v>9</v>
      </c>
      <c r="K39" s="19" t="n">
        <v>5</v>
      </c>
      <c r="L39" s="21" t="n">
        <f aca="false">IFERROR(J39/(J39+K39),0)</f>
        <v>0.642857142857143</v>
      </c>
      <c r="M39" s="19" t="n">
        <v>3</v>
      </c>
      <c r="N39" s="19" t="n">
        <v>9</v>
      </c>
      <c r="O39" s="21" t="n">
        <f aca="false">IFERROR(M39/(M39+N39),0)</f>
        <v>0.25</v>
      </c>
      <c r="P39" s="19" t="n">
        <v>10</v>
      </c>
      <c r="Q39" s="19" t="n">
        <v>16</v>
      </c>
      <c r="R39" s="19" t="n">
        <v>1</v>
      </c>
      <c r="S39" s="21" t="n">
        <f aca="false">IFERROR(P39/(P39+Q39),0)</f>
        <v>0.384615384615385</v>
      </c>
      <c r="T39" s="22" t="n">
        <v>113.8</v>
      </c>
      <c r="U39" s="22" t="n">
        <v>96.8</v>
      </c>
      <c r="V39" s="23" t="n">
        <f aca="false">T39-U39</f>
        <v>17</v>
      </c>
      <c r="W39" s="22" t="n">
        <v>70.8</v>
      </c>
      <c r="X39" s="22" t="n">
        <v>77.2</v>
      </c>
      <c r="Y39" s="22" t="n">
        <v>69.6</v>
      </c>
      <c r="Z39" s="18" t="s">
        <v>36</v>
      </c>
    </row>
    <row r="40" customFormat="false" ht="18" hidden="false" customHeight="true" outlineLevel="0" collapsed="false">
      <c r="A40" s="9" t="n">
        <f aca="false">RANK(V40,V$4:V$43,0)</f>
        <v>34</v>
      </c>
      <c r="B40" s="10" t="s">
        <v>74</v>
      </c>
      <c r="C40" s="11" t="s">
        <v>29</v>
      </c>
      <c r="D40" s="12" t="n">
        <v>14</v>
      </c>
      <c r="E40" s="12" t="n">
        <v>12</v>
      </c>
      <c r="F40" s="12" t="n">
        <v>12</v>
      </c>
      <c r="G40" s="12" t="n">
        <v>13</v>
      </c>
      <c r="H40" s="12" t="n">
        <v>2</v>
      </c>
      <c r="I40" s="13" t="n">
        <f aca="false">IFERROR(F40/(F40+G40),0)</f>
        <v>0.48</v>
      </c>
      <c r="J40" s="12" t="n">
        <v>9</v>
      </c>
      <c r="K40" s="12" t="n">
        <v>5</v>
      </c>
      <c r="L40" s="14" t="n">
        <f aca="false">IFERROR(J40/(J40+K40),0)</f>
        <v>0.642857142857143</v>
      </c>
      <c r="M40" s="12" t="n">
        <v>3</v>
      </c>
      <c r="N40" s="12" t="n">
        <v>9</v>
      </c>
      <c r="O40" s="14" t="n">
        <f aca="false">IFERROR(M40/(M40+N40),0)</f>
        <v>0.25</v>
      </c>
      <c r="P40" s="12" t="n">
        <v>9</v>
      </c>
      <c r="Q40" s="12" t="n">
        <v>17</v>
      </c>
      <c r="R40" s="12" t="n">
        <v>1</v>
      </c>
      <c r="S40" s="14" t="n">
        <f aca="false">IFERROR(P40/(P40+Q40),0)</f>
        <v>0.346153846153846</v>
      </c>
      <c r="T40" s="15" t="n">
        <v>109.6</v>
      </c>
      <c r="U40" s="15" t="n">
        <v>92.4</v>
      </c>
      <c r="V40" s="16" t="n">
        <f aca="false">T40-U40</f>
        <v>17.2</v>
      </c>
      <c r="W40" s="15" t="n">
        <v>60.2</v>
      </c>
      <c r="X40" s="15" t="n">
        <v>69.8</v>
      </c>
      <c r="Y40" s="15" t="n">
        <v>63.2</v>
      </c>
      <c r="Z40" s="11" t="s">
        <v>45</v>
      </c>
    </row>
    <row r="41" customFormat="false" ht="18" hidden="false" customHeight="true" outlineLevel="0" collapsed="false">
      <c r="A41" s="9" t="n">
        <f aca="false">RANK(V41,V$4:V$43,0)</f>
        <v>38</v>
      </c>
      <c r="B41" s="17" t="s">
        <v>75</v>
      </c>
      <c r="C41" s="18" t="s">
        <v>29</v>
      </c>
      <c r="D41" s="19" t="n">
        <v>14</v>
      </c>
      <c r="E41" s="19" t="n">
        <v>12</v>
      </c>
      <c r="F41" s="19" t="n">
        <v>12</v>
      </c>
      <c r="G41" s="19" t="n">
        <v>13</v>
      </c>
      <c r="H41" s="19" t="n">
        <v>2</v>
      </c>
      <c r="I41" s="20" t="n">
        <f aca="false">IFERROR(F41/(F41+G41),0)</f>
        <v>0.48</v>
      </c>
      <c r="J41" s="19" t="n">
        <v>8</v>
      </c>
      <c r="K41" s="19" t="n">
        <v>6</v>
      </c>
      <c r="L41" s="21" t="n">
        <f aca="false">IFERROR(J41/(J41+K41),0)</f>
        <v>0.571428571428571</v>
      </c>
      <c r="M41" s="19" t="n">
        <v>3</v>
      </c>
      <c r="N41" s="19" t="n">
        <v>9</v>
      </c>
      <c r="O41" s="21" t="n">
        <f aca="false">IFERROR(M41/(M41+N41),0)</f>
        <v>0.25</v>
      </c>
      <c r="P41" s="19" t="n">
        <v>10</v>
      </c>
      <c r="Q41" s="19" t="n">
        <v>16</v>
      </c>
      <c r="R41" s="19" t="n">
        <v>1</v>
      </c>
      <c r="S41" s="21" t="n">
        <f aca="false">IFERROR(P41/(P41+Q41),0)</f>
        <v>0.384615384615385</v>
      </c>
      <c r="T41" s="22" t="n">
        <v>113.2</v>
      </c>
      <c r="U41" s="22" t="n">
        <v>96.4</v>
      </c>
      <c r="V41" s="23" t="n">
        <f aca="false">T41-U41</f>
        <v>16.8</v>
      </c>
      <c r="W41" s="22" t="n">
        <v>69.4</v>
      </c>
      <c r="X41" s="22" t="n">
        <v>75.4</v>
      </c>
      <c r="Y41" s="22" t="n">
        <v>68.4</v>
      </c>
      <c r="Z41" s="18" t="s">
        <v>36</v>
      </c>
    </row>
    <row r="42" customFormat="false" ht="18" hidden="false" customHeight="true" outlineLevel="0" collapsed="false">
      <c r="A42" s="9" t="n">
        <f aca="false">RANK(V42,V$4:V$43,0)</f>
        <v>40</v>
      </c>
      <c r="B42" s="10" t="s">
        <v>76</v>
      </c>
      <c r="C42" s="11" t="s">
        <v>29</v>
      </c>
      <c r="D42" s="12" t="n">
        <v>14</v>
      </c>
      <c r="E42" s="12" t="n">
        <v>12</v>
      </c>
      <c r="F42" s="12" t="n">
        <v>13</v>
      </c>
      <c r="G42" s="12" t="n">
        <v>12</v>
      </c>
      <c r="H42" s="12" t="n">
        <v>2</v>
      </c>
      <c r="I42" s="13" t="n">
        <f aca="false">IFERROR(F42/(F42+G42),0)</f>
        <v>0.52</v>
      </c>
      <c r="J42" s="12" t="n">
        <v>9</v>
      </c>
      <c r="K42" s="12" t="n">
        <v>5</v>
      </c>
      <c r="L42" s="14" t="n">
        <f aca="false">IFERROR(J42/(J42+K42),0)</f>
        <v>0.642857142857143</v>
      </c>
      <c r="M42" s="12" t="n">
        <v>4</v>
      </c>
      <c r="N42" s="12" t="n">
        <v>8</v>
      </c>
      <c r="O42" s="14" t="n">
        <f aca="false">IFERROR(M42/(M42+N42),0)</f>
        <v>0.333333333333333</v>
      </c>
      <c r="P42" s="12" t="n">
        <v>11</v>
      </c>
      <c r="Q42" s="12" t="n">
        <v>15</v>
      </c>
      <c r="R42" s="12" t="n">
        <v>1</v>
      </c>
      <c r="S42" s="14" t="n">
        <f aca="false">IFERROR(P42/(P42+Q42),0)</f>
        <v>0.423076923076923</v>
      </c>
      <c r="T42" s="15" t="n">
        <v>112.6</v>
      </c>
      <c r="U42" s="15" t="n">
        <v>96.2</v>
      </c>
      <c r="V42" s="16" t="n">
        <f aca="false">T42-U42</f>
        <v>16.4</v>
      </c>
      <c r="W42" s="15" t="n">
        <v>68.8</v>
      </c>
      <c r="X42" s="15" t="n">
        <v>75.2</v>
      </c>
      <c r="Y42" s="15" t="n">
        <v>68.2</v>
      </c>
      <c r="Z42" s="11" t="s">
        <v>30</v>
      </c>
    </row>
    <row r="43" customFormat="false" ht="18" hidden="false" customHeight="true" outlineLevel="0" collapsed="false">
      <c r="A43" s="9" t="n">
        <f aca="false">RANK(V43,V$4:V$43,0)</f>
        <v>38</v>
      </c>
      <c r="B43" s="17" t="s">
        <v>77</v>
      </c>
      <c r="C43" s="18" t="s">
        <v>42</v>
      </c>
      <c r="D43" s="19" t="n">
        <v>14</v>
      </c>
      <c r="E43" s="19" t="n">
        <v>12</v>
      </c>
      <c r="F43" s="19" t="n">
        <v>13</v>
      </c>
      <c r="G43" s="19" t="n">
        <v>12</v>
      </c>
      <c r="H43" s="19" t="n">
        <v>2</v>
      </c>
      <c r="I43" s="20" t="n">
        <f aca="false">IFERROR(F43/(F43+G43),0)</f>
        <v>0.52</v>
      </c>
      <c r="J43" s="19" t="n">
        <v>9</v>
      </c>
      <c r="K43" s="19" t="n">
        <v>5</v>
      </c>
      <c r="L43" s="21" t="n">
        <f aca="false">IFERROR(J43/(J43+K43),0)</f>
        <v>0.642857142857143</v>
      </c>
      <c r="M43" s="19" t="n">
        <v>4</v>
      </c>
      <c r="N43" s="19" t="n">
        <v>8</v>
      </c>
      <c r="O43" s="21" t="n">
        <f aca="false">IFERROR(M43/(M43+N43),0)</f>
        <v>0.333333333333333</v>
      </c>
      <c r="P43" s="19" t="n">
        <v>10</v>
      </c>
      <c r="Q43" s="19" t="n">
        <v>16</v>
      </c>
      <c r="R43" s="19" t="n">
        <v>1</v>
      </c>
      <c r="S43" s="21" t="n">
        <f aca="false">IFERROR(P43/(P43+Q43),0)</f>
        <v>0.384615384615385</v>
      </c>
      <c r="T43" s="22" t="n">
        <v>114.6</v>
      </c>
      <c r="U43" s="22" t="n">
        <v>97.8</v>
      </c>
      <c r="V43" s="23" t="n">
        <f aca="false">T43-U43</f>
        <v>16.8</v>
      </c>
      <c r="W43" s="22" t="n">
        <v>71.2</v>
      </c>
      <c r="X43" s="22" t="n">
        <v>79.4</v>
      </c>
      <c r="Y43" s="22" t="n">
        <v>71.8</v>
      </c>
      <c r="Z43" s="18" t="s">
        <v>30</v>
      </c>
    </row>
  </sheetData>
  <mergeCells count="2">
    <mergeCell ref="A1:Z1"/>
    <mergeCell ref="A2:Z2"/>
  </mergeCells>
  <conditionalFormatting sqref="I4:I43">
    <cfRule type="colorScale" priority="2">
      <colorScale>
        <cfvo type="percentile" val="10"/>
        <cfvo type="percentile" val="50"/>
        <cfvo type="percentile" val="90"/>
        <color rgb="FFF8D7DA"/>
        <color rgb="FFFFFFFF"/>
        <color rgb="FFD4EDDA"/>
      </colorScale>
    </cfRule>
  </conditionalFormatting>
  <conditionalFormatting sqref="L4:L43">
    <cfRule type="colorScale" priority="3">
      <colorScale>
        <cfvo type="percentile" val="10"/>
        <cfvo type="percentile" val="50"/>
        <cfvo type="percentile" val="90"/>
        <color rgb="FFF8D7DA"/>
        <color rgb="FFFFFFFF"/>
        <color rgb="FFD4EDDA"/>
      </colorScale>
    </cfRule>
  </conditionalFormatting>
  <conditionalFormatting sqref="O4:O43">
    <cfRule type="colorScale" priority="4">
      <colorScale>
        <cfvo type="percentile" val="10"/>
        <cfvo type="percentile" val="50"/>
        <cfvo type="percentile" val="90"/>
        <color rgb="FFF8D7DA"/>
        <color rgb="FFFFFFFF"/>
        <color rgb="FFD4EDDA"/>
      </colorScale>
    </cfRule>
  </conditionalFormatting>
  <conditionalFormatting sqref="V4:V43">
    <cfRule type="colorScale" priority="5">
      <colorScale>
        <cfvo type="percentile" val="10"/>
        <cfvo type="percentile" val="50"/>
        <cfvo type="percentile" val="90"/>
        <color rgb="FFF8D7DA"/>
        <color rgb="FFFFFFFF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"/>
    <col collapsed="false" customWidth="true" hidden="false" outlineLevel="0" max="7" min="7" style="0" width="28"/>
    <col collapsed="false" customWidth="true" hidden="false" outlineLevel="0" max="8" min="8" style="0" width="18"/>
  </cols>
  <sheetData>
    <row r="1" customFormat="false" ht="43.5" hidden="false" customHeight="true" outlineLevel="0" collapsed="false">
      <c r="B1" s="24" t="s">
        <v>78</v>
      </c>
      <c r="C1" s="24"/>
      <c r="D1" s="24"/>
      <c r="E1" s="24"/>
      <c r="F1" s="24"/>
      <c r="G1" s="24"/>
      <c r="H1" s="24"/>
    </row>
    <row r="2" customFormat="false" ht="4.5" hidden="false" customHeight="true" outlineLevel="0" collapsed="false">
      <c r="B2" s="25"/>
      <c r="C2" s="25"/>
      <c r="D2" s="25"/>
      <c r="E2" s="25"/>
      <c r="F2" s="25"/>
      <c r="G2" s="25"/>
      <c r="H2" s="25"/>
    </row>
    <row r="3" customFormat="false" ht="24" hidden="false" customHeight="true" outlineLevel="0" collapsed="false">
      <c r="B3" s="26" t="s">
        <v>79</v>
      </c>
      <c r="C3" s="26"/>
      <c r="D3" s="26"/>
      <c r="E3" s="26"/>
      <c r="F3" s="26"/>
      <c r="G3" s="26"/>
      <c r="H3" s="26"/>
    </row>
    <row r="4" customFormat="false" ht="21.75" hidden="false" customHeight="true" outlineLevel="0" collapsed="false">
      <c r="B4" s="10" t="s">
        <v>80</v>
      </c>
      <c r="C4" s="27"/>
      <c r="D4" s="28" t="s">
        <v>81</v>
      </c>
    </row>
    <row r="5" customFormat="false" ht="21.75" hidden="false" customHeight="true" outlineLevel="0" collapsed="false">
      <c r="B5" s="10" t="s">
        <v>82</v>
      </c>
      <c r="C5" s="27"/>
      <c r="D5" s="28" t="s">
        <v>81</v>
      </c>
    </row>
    <row r="6" customFormat="false" ht="21.75" hidden="false" customHeight="true" outlineLevel="0" collapsed="false">
      <c r="B6" s="10" t="s">
        <v>83</v>
      </c>
      <c r="C6" s="27"/>
      <c r="D6" s="28" t="s">
        <v>84</v>
      </c>
    </row>
    <row r="7" customFormat="false" ht="21.75" hidden="false" customHeight="true" outlineLevel="0" collapsed="false">
      <c r="B7" s="10" t="s">
        <v>85</v>
      </c>
      <c r="C7" s="27"/>
      <c r="D7" s="28" t="s">
        <v>86</v>
      </c>
    </row>
    <row r="8" customFormat="false" ht="21.75" hidden="false" customHeight="true" outlineLevel="0" collapsed="false">
      <c r="B8" s="10" t="s">
        <v>87</v>
      </c>
      <c r="C8" s="27"/>
      <c r="D8" s="28" t="s">
        <v>88</v>
      </c>
    </row>
    <row r="9" customFormat="false" ht="21.75" hidden="false" customHeight="true" outlineLevel="0" collapsed="false">
      <c r="B9" s="10" t="s">
        <v>89</v>
      </c>
      <c r="C9" s="27"/>
      <c r="D9" s="28" t="s">
        <v>90</v>
      </c>
    </row>
    <row r="10" customFormat="false" ht="21.75" hidden="false" customHeight="true" outlineLevel="0" collapsed="false">
      <c r="B10" s="10" t="s">
        <v>91</v>
      </c>
      <c r="C10" s="27"/>
      <c r="D10" s="28" t="s">
        <v>90</v>
      </c>
    </row>
    <row r="11" customFormat="false" ht="21.75" hidden="false" customHeight="true" outlineLevel="0" collapsed="false">
      <c r="B11" s="10" t="s">
        <v>92</v>
      </c>
      <c r="C11" s="27"/>
      <c r="D11" s="28" t="s">
        <v>93</v>
      </c>
    </row>
    <row r="12" customFormat="false" ht="9.75" hidden="false" customHeight="true" outlineLevel="0" collapsed="false"/>
    <row r="13" customFormat="false" ht="24" hidden="false" customHeight="true" outlineLevel="0" collapsed="false">
      <c r="B13" s="26" t="s">
        <v>94</v>
      </c>
      <c r="C13" s="26"/>
      <c r="D13" s="26"/>
      <c r="E13" s="26"/>
      <c r="F13" s="26"/>
      <c r="G13" s="26"/>
      <c r="H13" s="26"/>
    </row>
    <row r="14" customFormat="false" ht="21.75" hidden="false" customHeight="true" outlineLevel="0" collapsed="false">
      <c r="B14" s="29" t="s">
        <v>95</v>
      </c>
      <c r="C14" s="29" t="s">
        <v>80</v>
      </c>
      <c r="D14" s="29" t="s">
        <v>82</v>
      </c>
      <c r="E14" s="29" t="s">
        <v>96</v>
      </c>
    </row>
    <row r="15" customFormat="false" ht="19.5" hidden="false" customHeight="true" outlineLevel="0" collapsed="false">
      <c r="B15" s="30" t="s">
        <v>97</v>
      </c>
      <c r="C15" s="11" t="str">
        <f aca="false">IFERROR(INDEX('Team Database'!C$4:C$43,MATCH(C4,'Team Database'!B$4:B$43,0)),"-")</f>
        <v>-</v>
      </c>
      <c r="D15" s="11" t="str">
        <f aca="false">IFERROR(INDEX('Team Database'!C$4:C$43,MATCH(C5,'Team Database'!B$4:B$43,0)),"-")</f>
        <v>-</v>
      </c>
      <c r="E15" s="31"/>
    </row>
    <row r="16" customFormat="false" ht="19.5" hidden="false" customHeight="true" outlineLevel="0" collapsed="false">
      <c r="B16" s="32" t="s">
        <v>98</v>
      </c>
      <c r="C16" s="18" t="str">
        <f aca="false">IFERROR(INDEX('Team Database'!D$4:E$43,MATCH(C4,'Team Database'!B$4:B$43,0),1)&amp;"-"&amp;INDEX('Team Database'!D$4:E$43,MATCH(C4,'Team Database'!B$4:B$43,0),2),"-")</f>
        <v>-</v>
      </c>
      <c r="D16" s="18" t="str">
        <f aca="false">IFERROR(INDEX('Team Database'!D$4:E$43,MATCH(C5,'Team Database'!B$4:B$43,0),1)&amp;"-"&amp;INDEX('Team Database'!D$4:E$43,MATCH(C5,'Team Database'!B$4:B$43,0),2),"-")</f>
        <v>-</v>
      </c>
      <c r="E16" s="33"/>
    </row>
    <row r="17" customFormat="false" ht="19.5" hidden="false" customHeight="true" outlineLevel="0" collapsed="false">
      <c r="B17" s="30" t="s">
        <v>99</v>
      </c>
      <c r="C17" s="34" t="str">
        <f aca="false">IFERROR(INDEX('Team Database'!I$4:I$43,MATCH(C4,'Team Database'!B$4:B$43,0)),"-")</f>
        <v>-</v>
      </c>
      <c r="D17" s="34" t="str">
        <f aca="false">IFERROR(INDEX('Team Database'!I$4:I$43,MATCH(C5,'Team Database'!B$4:B$43,0)),"-")</f>
        <v>-</v>
      </c>
      <c r="E17" s="13" t="str">
        <f aca="false">IFERROR(C17-D17,"")</f>
        <v/>
      </c>
    </row>
    <row r="18" customFormat="false" ht="19.5" hidden="false" customHeight="true" outlineLevel="0" collapsed="false">
      <c r="B18" s="32" t="s">
        <v>100</v>
      </c>
      <c r="C18" s="35" t="str">
        <f aca="false">IFERROR(INDEX('Team Database'!L$4:L$43,MATCH(C4,'Team Database'!B$4:B$43,0)),"-")</f>
        <v>-</v>
      </c>
      <c r="D18" s="35" t="str">
        <f aca="false">IFERROR(INDEX('Team Database'!L$4:L$43,MATCH(C5,'Team Database'!B$4:B$43,0)),"-")</f>
        <v>-</v>
      </c>
      <c r="E18" s="20" t="str">
        <f aca="false">IFERROR(C18-D18,"")</f>
        <v/>
      </c>
    </row>
    <row r="19" customFormat="false" ht="19.5" hidden="false" customHeight="true" outlineLevel="0" collapsed="false">
      <c r="B19" s="30" t="s">
        <v>101</v>
      </c>
      <c r="C19" s="34" t="str">
        <f aca="false">IFERROR(INDEX('Team Database'!O$4:O$43,MATCH(C4,'Team Database'!B$4:B$43,0)),"-")</f>
        <v>-</v>
      </c>
      <c r="D19" s="34" t="str">
        <f aca="false">IFERROR(INDEX('Team Database'!O$4:O$43,MATCH(C5,'Team Database'!B$4:B$43,0)),"-")</f>
        <v>-</v>
      </c>
      <c r="E19" s="13" t="str">
        <f aca="false">IFERROR(C19-D19,"")</f>
        <v/>
      </c>
    </row>
    <row r="20" customFormat="false" ht="19.5" hidden="false" customHeight="true" outlineLevel="0" collapsed="false">
      <c r="B20" s="32" t="s">
        <v>102</v>
      </c>
      <c r="C20" s="35" t="str">
        <f aca="false">IFERROR(INDEX('Team Database'!S$4:S$43,MATCH(C4,'Team Database'!B$4:B$43,0)),"-")</f>
        <v>-</v>
      </c>
      <c r="D20" s="35" t="str">
        <f aca="false">IFERROR(INDEX('Team Database'!S$4:S$43,MATCH(C5,'Team Database'!B$4:B$43,0)),"-")</f>
        <v>-</v>
      </c>
      <c r="E20" s="33"/>
    </row>
    <row r="21" customFormat="false" ht="19.5" hidden="false" customHeight="true" outlineLevel="0" collapsed="false">
      <c r="B21" s="30" t="s">
        <v>103</v>
      </c>
      <c r="C21" s="36" t="str">
        <f aca="false">IFERROR(INDEX('Team Database'!T$4:T$43,MATCH(C4,'Team Database'!B$4:B$43,0)),"-")</f>
        <v>-</v>
      </c>
      <c r="D21" s="36" t="str">
        <f aca="false">IFERROR(INDEX('Team Database'!T$4:T$43,MATCH(C5,'Team Database'!B$4:B$43,0)),"-")</f>
        <v>-</v>
      </c>
      <c r="E21" s="37" t="str">
        <f aca="false">IFERROR(C21-D21,"")</f>
        <v/>
      </c>
    </row>
    <row r="22" customFormat="false" ht="19.5" hidden="false" customHeight="true" outlineLevel="0" collapsed="false">
      <c r="B22" s="32" t="s">
        <v>104</v>
      </c>
      <c r="C22" s="38" t="str">
        <f aca="false">IFERROR(INDEX('Team Database'!U$4:U$43,MATCH(C4,'Team Database'!B$4:B$43,0)),"-")</f>
        <v>-</v>
      </c>
      <c r="D22" s="38" t="str">
        <f aca="false">IFERROR(INDEX('Team Database'!U$4:U$43,MATCH(C5,'Team Database'!B$4:B$43,0)),"-")</f>
        <v>-</v>
      </c>
      <c r="E22" s="39" t="str">
        <f aca="false">IFERROR(D22-C22,"")</f>
        <v/>
      </c>
    </row>
    <row r="23" customFormat="false" ht="19.5" hidden="false" customHeight="true" outlineLevel="0" collapsed="false">
      <c r="B23" s="30" t="s">
        <v>105</v>
      </c>
      <c r="C23" s="36" t="str">
        <f aca="false">IFERROR(INDEX('Team Database'!V$4:V$43,MATCH(C4,'Team Database'!B$4:B$43,0)),"-")</f>
        <v>-</v>
      </c>
      <c r="D23" s="36" t="str">
        <f aca="false">IFERROR(INDEX('Team Database'!V$4:V$43,MATCH(C5,'Team Database'!B$4:B$43,0)),"-")</f>
        <v>-</v>
      </c>
      <c r="E23" s="37" t="str">
        <f aca="false">IFERROR(C23-D23,"")</f>
        <v/>
      </c>
    </row>
    <row r="24" customFormat="false" ht="19.5" hidden="false" customHeight="true" outlineLevel="0" collapsed="false">
      <c r="B24" s="32" t="s">
        <v>24</v>
      </c>
      <c r="C24" s="38" t="str">
        <f aca="false">IFERROR(INDEX('Team Database'!W$4:W$43,MATCH(C4,'Team Database'!B$4:B$43,0)),"-")</f>
        <v>-</v>
      </c>
      <c r="D24" s="38" t="str">
        <f aca="false">IFERROR(INDEX('Team Database'!W$4:W$43,MATCH(C5,'Team Database'!B$4:B$43,0)),"-")</f>
        <v>-</v>
      </c>
      <c r="E24" s="33"/>
    </row>
    <row r="25" customFormat="false" ht="19.5" hidden="false" customHeight="true" outlineLevel="0" collapsed="false">
      <c r="B25" s="30" t="s">
        <v>25</v>
      </c>
      <c r="C25" s="36" t="str">
        <f aca="false">IFERROR(INDEX('Team Database'!X$4:X$43,MATCH(C4,'Team Database'!B$4:B$43,0)),"-")</f>
        <v>-</v>
      </c>
      <c r="D25" s="36" t="str">
        <f aca="false">IFERROR(INDEX('Team Database'!X$4:X$43,MATCH(C5,'Team Database'!B$4:B$43,0)),"-")</f>
        <v>-</v>
      </c>
      <c r="E25" s="37" t="str">
        <f aca="false">IFERROR(C25-D25,"")</f>
        <v/>
      </c>
    </row>
    <row r="26" customFormat="false" ht="19.5" hidden="false" customHeight="true" outlineLevel="0" collapsed="false">
      <c r="B26" s="32" t="s">
        <v>106</v>
      </c>
      <c r="C26" s="38" t="str">
        <f aca="false">IFERROR(INDEX('Team Database'!Y$4:Y$43,MATCH(C4,'Team Database'!B$4:B$43,0)),"-")</f>
        <v>-</v>
      </c>
      <c r="D26" s="38" t="str">
        <f aca="false">IFERROR(INDEX('Team Database'!Y$4:Y$43,MATCH(C5,'Team Database'!B$4:B$43,0)),"-")</f>
        <v>-</v>
      </c>
      <c r="E26" s="39" t="str">
        <f aca="false">IFERROR(D26-C26,"")</f>
        <v/>
      </c>
    </row>
    <row r="27" customFormat="false" ht="19.5" hidden="false" customHeight="true" outlineLevel="0" collapsed="false">
      <c r="B27" s="30" t="s">
        <v>27</v>
      </c>
      <c r="C27" s="11" t="str">
        <f aca="false">IFERROR(INDEX('Team Database'!Z$4:Z$43,MATCH(C4,'Team Database'!B$4:B$43,0)),"-")</f>
        <v>-</v>
      </c>
      <c r="D27" s="11" t="str">
        <f aca="false">IFERROR(INDEX('Team Database'!Z$4:Z$43,MATCH(C5,'Team Database'!B$4:B$43,0)),"-")</f>
        <v>-</v>
      </c>
      <c r="E27" s="31"/>
    </row>
    <row r="28" customFormat="false" ht="9.75" hidden="false" customHeight="true" outlineLevel="0" collapsed="false"/>
    <row r="29" customFormat="false" ht="24" hidden="false" customHeight="true" outlineLevel="0" collapsed="false">
      <c r="B29" s="26" t="s">
        <v>107</v>
      </c>
      <c r="C29" s="26"/>
      <c r="D29" s="26"/>
      <c r="E29" s="26"/>
      <c r="F29" s="26"/>
      <c r="G29" s="26"/>
      <c r="H29" s="26"/>
    </row>
    <row r="30" customFormat="false" ht="21.75" hidden="false" customHeight="true" outlineLevel="0" collapsed="false">
      <c r="B30" s="30" t="s">
        <v>108</v>
      </c>
      <c r="C30" s="40"/>
      <c r="D30" s="41" t="s">
        <v>109</v>
      </c>
    </row>
    <row r="31" customFormat="false" ht="21.75" hidden="false" customHeight="true" outlineLevel="0" collapsed="false">
      <c r="B31" s="32" t="s">
        <v>110</v>
      </c>
      <c r="C31" s="40"/>
      <c r="D31" s="41" t="s">
        <v>111</v>
      </c>
    </row>
    <row r="32" customFormat="false" ht="21.75" hidden="false" customHeight="true" outlineLevel="0" collapsed="false">
      <c r="B32" s="30" t="s">
        <v>112</v>
      </c>
      <c r="C32" s="42" t="n">
        <f aca="false">IFERROR(C7-C31,"-")</f>
        <v>0</v>
      </c>
      <c r="D32" s="41" t="s">
        <v>113</v>
      </c>
    </row>
    <row r="33" customFormat="false" ht="21.75" hidden="false" customHeight="true" outlineLevel="0" collapsed="false">
      <c r="B33" s="32" t="s">
        <v>114</v>
      </c>
      <c r="C33" s="42"/>
      <c r="D33" s="41" t="s">
        <v>115</v>
      </c>
    </row>
    <row r="35" customFormat="false" ht="24" hidden="false" customHeight="true" outlineLevel="0" collapsed="false">
      <c r="B35" s="26" t="s">
        <v>116</v>
      </c>
      <c r="C35" s="26"/>
      <c r="D35" s="26"/>
      <c r="E35" s="26"/>
      <c r="F35" s="26"/>
      <c r="G35" s="26"/>
      <c r="H35" s="26"/>
    </row>
    <row r="36" customFormat="false" ht="21.75" hidden="false" customHeight="true" outlineLevel="0" collapsed="false">
      <c r="B36" s="30" t="s">
        <v>117</v>
      </c>
      <c r="C36" s="43" t="str">
        <f aca="false">IF(C5&lt;&gt;"-",IF(AND(C6&lt;0,C8="Away"),"⚡ YES — Road fav ATS trends worth checking","No"),"Enter teams")</f>
        <v>No</v>
      </c>
      <c r="D36" s="43"/>
      <c r="E36" s="43"/>
      <c r="F36" s="43"/>
      <c r="G36" s="43"/>
      <c r="H36" s="43"/>
    </row>
    <row r="37" customFormat="false" ht="21.75" hidden="false" customHeight="true" outlineLevel="0" collapsed="false">
      <c r="B37" s="32" t="s">
        <v>118</v>
      </c>
      <c r="C37" s="44" t="str">
        <f aca="false">IF(C4&lt;&gt;"-",IF(C6&gt;0,"⚡ YES — Home dogs cover ~54% historically","No"),"Enter teams")</f>
        <v>No</v>
      </c>
      <c r="D37" s="44"/>
      <c r="E37" s="44"/>
      <c r="F37" s="44"/>
      <c r="G37" s="44"/>
      <c r="H37" s="44"/>
    </row>
    <row r="38" customFormat="false" ht="21.75" hidden="false" customHeight="true" outlineLevel="0" collapsed="false">
      <c r="B38" s="30" t="s">
        <v>119</v>
      </c>
      <c r="C38" s="43" t="str">
        <f aca="false">IF(AND(C9&lt;&gt;"",C10&lt;&gt;""),IF(C9-C10&gt;=2,"✅ Home has rest edge ("&amp;C9-C10&amp;" extra days)",IF(C10-C9&gt;=2,"⚠ Away has rest edge ("&amp;C10-C9&amp;" extra days)","— Even rest")),"Enter rest days")</f>
        <v>Enter rest days</v>
      </c>
      <c r="D38" s="43"/>
      <c r="E38" s="43"/>
      <c r="F38" s="43"/>
      <c r="G38" s="43"/>
      <c r="H38" s="43"/>
    </row>
    <row r="39" customFormat="false" ht="21.75" hidden="false" customHeight="true" outlineLevel="0" collapsed="false">
      <c r="B39" s="32" t="s">
        <v>120</v>
      </c>
      <c r="C39" s="44" t="str">
        <f aca="false">IFERROR(IF((INDEX('Team Database'!W$4:W$43,MATCH(C4,'Team Database'!B$4:B$43,0))+INDEX('Team Database'!W$4:W$43,MATCH(C5,'Team Database'!B$4:B$43,0)))/2&gt;70,"⚡ YES — Fast tempo, lean Over","— Slower game, neutral total signal"),"Enter teams")</f>
        <v>Enter teams</v>
      </c>
      <c r="D39" s="44"/>
      <c r="E39" s="44"/>
      <c r="F39" s="44"/>
      <c r="G39" s="44"/>
      <c r="H39" s="44"/>
    </row>
    <row r="40" customFormat="false" ht="21.75" hidden="false" customHeight="true" outlineLevel="0" collapsed="false">
      <c r="B40" s="30" t="s">
        <v>121</v>
      </c>
      <c r="C40" s="43" t="str">
        <f aca="false">IFERROR(IF(ABS(INDEX('Team Database'!V$4:V$43,MATCH(C4,'Team Database'!B$4:B$43,0))-INDEX('Team Database'!V$4:V$43,MATCH(C5,'Team Database'!B$4:B$43,0)))&gt;12,"⚠ Large AdjEM gap — big favorite may be overpriced","— Competitive matchup on efficiency"),"Enter teams")</f>
        <v>Enter teams</v>
      </c>
      <c r="D40" s="43"/>
      <c r="E40" s="43"/>
      <c r="F40" s="43"/>
      <c r="G40" s="43"/>
      <c r="H40" s="43"/>
    </row>
  </sheetData>
  <mergeCells count="11">
    <mergeCell ref="B1:H1"/>
    <mergeCell ref="B2:H2"/>
    <mergeCell ref="B3:H3"/>
    <mergeCell ref="B13:H13"/>
    <mergeCell ref="B29:H29"/>
    <mergeCell ref="B35:H35"/>
    <mergeCell ref="C36:H36"/>
    <mergeCell ref="C37:H37"/>
    <mergeCell ref="C38:H38"/>
    <mergeCell ref="C39:H39"/>
    <mergeCell ref="C40:H40"/>
  </mergeCells>
  <dataValidations count="3">
    <dataValidation allowBlank="true" errorStyle="stop" operator="between" showDropDown="false" showErrorMessage="false" showInputMessage="false" sqref="C4:C5" type="list">
      <formula1>"Duke,Auburn,Houston,Tennessee,UConn,Kansas,Michigan State,Marquette,Purdue,Iowa State,St. John's,Illinois,Alabama,Arizona,Florida,Gonzaga,Creighton,UCLA,Ole Miss,Kentucky,Texas Tech,Baylor,UNC,Wisconsin,Indiana,Ohio State,Providence,Missouri,Michigan,Vill"</formula1>
      <formula2>0</formula2>
    </dataValidation>
    <dataValidation allowBlank="true" errorStyle="stop" operator="between" showDropDown="false" showErrorMessage="false" showInputMessage="false" sqref="C8" type="list">
      <formula1>"Home,Away,Neutral"</formula1>
      <formula2>0</formula2>
    </dataValidation>
    <dataValidation allowBlank="true" errorStyle="stop" operator="between" showDropDown="false" showErrorMessage="false" showInputMessage="false" sqref="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43.5" hidden="false" customHeight="true" outlineLevel="0" collapsed="false">
      <c r="A1" s="24" t="s">
        <v>122</v>
      </c>
      <c r="B1" s="24"/>
      <c r="C1" s="24"/>
      <c r="D1" s="24"/>
      <c r="E1" s="24"/>
      <c r="F1" s="24"/>
      <c r="G1" s="24"/>
      <c r="H1" s="24"/>
    </row>
    <row r="2" customFormat="false" ht="19.5" hidden="false" customHeight="true" outlineLevel="0" collapsed="false">
      <c r="A2" s="45" t="s">
        <v>123</v>
      </c>
      <c r="B2" s="45"/>
      <c r="C2" s="45"/>
      <c r="D2" s="45"/>
      <c r="E2" s="45"/>
      <c r="F2" s="45"/>
      <c r="G2" s="45"/>
      <c r="H2" s="45"/>
    </row>
    <row r="3" customFormat="false" ht="31.5" hidden="false" customHeight="true" outlineLevel="0" collapsed="false">
      <c r="A3" s="46" t="s">
        <v>124</v>
      </c>
      <c r="B3" s="46" t="s">
        <v>3</v>
      </c>
      <c r="C3" s="46" t="s">
        <v>125</v>
      </c>
      <c r="D3" s="46" t="s">
        <v>126</v>
      </c>
      <c r="E3" s="46" t="s">
        <v>127</v>
      </c>
      <c r="F3" s="46" t="s">
        <v>128</v>
      </c>
      <c r="G3" s="46" t="s">
        <v>129</v>
      </c>
      <c r="H3" s="46" t="s">
        <v>130</v>
      </c>
    </row>
    <row r="4" customFormat="false" ht="18" hidden="false" customHeight="true" outlineLevel="0" collapsed="false">
      <c r="A4" s="47"/>
      <c r="B4" s="48"/>
      <c r="C4" s="48"/>
      <c r="D4" s="49"/>
      <c r="E4" s="49"/>
      <c r="F4" s="49"/>
      <c r="G4" s="49"/>
      <c r="H4" s="48"/>
    </row>
    <row r="5" customFormat="false" ht="18" hidden="false" customHeight="true" outlineLevel="0" collapsed="false">
      <c r="A5" s="50"/>
      <c r="B5" s="51"/>
      <c r="C5" s="51"/>
      <c r="D5" s="52"/>
      <c r="E5" s="52"/>
      <c r="F5" s="52"/>
      <c r="G5" s="52"/>
      <c r="H5" s="51"/>
    </row>
    <row r="6" customFormat="false" ht="18" hidden="false" customHeight="true" outlineLevel="0" collapsed="false">
      <c r="A6" s="47"/>
      <c r="B6" s="48"/>
      <c r="C6" s="48"/>
      <c r="D6" s="49"/>
      <c r="E6" s="49"/>
      <c r="F6" s="49"/>
      <c r="G6" s="49"/>
      <c r="H6" s="48"/>
    </row>
    <row r="7" customFormat="false" ht="18" hidden="false" customHeight="true" outlineLevel="0" collapsed="false">
      <c r="A7" s="50"/>
      <c r="B7" s="51"/>
      <c r="C7" s="51"/>
      <c r="D7" s="52"/>
      <c r="E7" s="52"/>
      <c r="F7" s="52"/>
      <c r="G7" s="52"/>
      <c r="H7" s="51"/>
    </row>
    <row r="8" customFormat="false" ht="18" hidden="false" customHeight="true" outlineLevel="0" collapsed="false">
      <c r="A8" s="47"/>
      <c r="B8" s="48"/>
      <c r="C8" s="48"/>
      <c r="D8" s="49"/>
      <c r="E8" s="49"/>
      <c r="F8" s="49"/>
      <c r="G8" s="49"/>
      <c r="H8" s="48"/>
    </row>
    <row r="9" customFormat="false" ht="18" hidden="false" customHeight="true" outlineLevel="0" collapsed="false">
      <c r="A9" s="50"/>
      <c r="B9" s="51"/>
      <c r="C9" s="51"/>
      <c r="D9" s="52"/>
      <c r="E9" s="52"/>
      <c r="F9" s="52"/>
      <c r="G9" s="52"/>
      <c r="H9" s="51"/>
    </row>
    <row r="10" customFormat="false" ht="18" hidden="false" customHeight="true" outlineLevel="0" collapsed="false">
      <c r="A10" s="47"/>
      <c r="B10" s="48"/>
      <c r="C10" s="48"/>
      <c r="D10" s="49"/>
      <c r="E10" s="49"/>
      <c r="F10" s="49"/>
      <c r="G10" s="49"/>
      <c r="H10" s="48"/>
    </row>
    <row r="11" customFormat="false" ht="18" hidden="false" customHeight="true" outlineLevel="0" collapsed="false">
      <c r="A11" s="50"/>
      <c r="B11" s="51"/>
      <c r="C11" s="51"/>
      <c r="D11" s="52"/>
      <c r="E11" s="52"/>
      <c r="F11" s="52"/>
      <c r="G11" s="52"/>
      <c r="H11" s="51"/>
    </row>
    <row r="12" customFormat="false" ht="18" hidden="false" customHeight="true" outlineLevel="0" collapsed="false">
      <c r="A12" s="47"/>
      <c r="B12" s="48"/>
      <c r="C12" s="48"/>
      <c r="D12" s="49"/>
      <c r="E12" s="49"/>
      <c r="F12" s="49"/>
      <c r="G12" s="49"/>
      <c r="H12" s="48"/>
    </row>
    <row r="13" customFormat="false" ht="18" hidden="false" customHeight="true" outlineLevel="0" collapsed="false">
      <c r="A13" s="50"/>
      <c r="B13" s="51"/>
      <c r="C13" s="51"/>
      <c r="D13" s="52"/>
      <c r="E13" s="52"/>
      <c r="F13" s="52"/>
      <c r="G13" s="52"/>
      <c r="H13" s="51"/>
    </row>
    <row r="14" customFormat="false" ht="18" hidden="false" customHeight="true" outlineLevel="0" collapsed="false">
      <c r="A14" s="47"/>
      <c r="B14" s="48"/>
      <c r="C14" s="48"/>
      <c r="D14" s="49"/>
      <c r="E14" s="49"/>
      <c r="F14" s="49"/>
      <c r="G14" s="49"/>
      <c r="H14" s="48"/>
    </row>
    <row r="15" customFormat="false" ht="18" hidden="false" customHeight="true" outlineLevel="0" collapsed="false">
      <c r="A15" s="50"/>
      <c r="B15" s="51"/>
      <c r="C15" s="51"/>
      <c r="D15" s="52"/>
      <c r="E15" s="52"/>
      <c r="F15" s="52"/>
      <c r="G15" s="52"/>
      <c r="H15" s="51"/>
    </row>
    <row r="16" customFormat="false" ht="18" hidden="false" customHeight="true" outlineLevel="0" collapsed="false">
      <c r="A16" s="47"/>
      <c r="B16" s="48"/>
      <c r="C16" s="48"/>
      <c r="D16" s="49"/>
      <c r="E16" s="49"/>
      <c r="F16" s="49"/>
      <c r="G16" s="49"/>
      <c r="H16" s="48"/>
    </row>
    <row r="17" customFormat="false" ht="18" hidden="false" customHeight="true" outlineLevel="0" collapsed="false">
      <c r="A17" s="50"/>
      <c r="B17" s="51"/>
      <c r="C17" s="51"/>
      <c r="D17" s="52"/>
      <c r="E17" s="52"/>
      <c r="F17" s="52"/>
      <c r="G17" s="52"/>
      <c r="H17" s="51"/>
    </row>
    <row r="18" customFormat="false" ht="18" hidden="false" customHeight="true" outlineLevel="0" collapsed="false">
      <c r="A18" s="47"/>
      <c r="B18" s="48"/>
      <c r="C18" s="48"/>
      <c r="D18" s="49"/>
      <c r="E18" s="49"/>
      <c r="F18" s="49"/>
      <c r="G18" s="49"/>
      <c r="H18" s="48"/>
    </row>
    <row r="19" customFormat="false" ht="18" hidden="false" customHeight="true" outlineLevel="0" collapsed="false">
      <c r="A19" s="50"/>
      <c r="B19" s="51"/>
      <c r="C19" s="51"/>
      <c r="D19" s="52"/>
      <c r="E19" s="52"/>
      <c r="F19" s="52"/>
      <c r="G19" s="52"/>
      <c r="H19" s="51"/>
    </row>
    <row r="20" customFormat="false" ht="18" hidden="false" customHeight="true" outlineLevel="0" collapsed="false">
      <c r="A20" s="47"/>
      <c r="B20" s="48"/>
      <c r="C20" s="48"/>
      <c r="D20" s="49"/>
      <c r="E20" s="49"/>
      <c r="F20" s="49"/>
      <c r="G20" s="49"/>
      <c r="H20" s="48"/>
    </row>
    <row r="21" customFormat="false" ht="18" hidden="false" customHeight="true" outlineLevel="0" collapsed="false">
      <c r="A21" s="50"/>
      <c r="B21" s="51"/>
      <c r="C21" s="51"/>
      <c r="D21" s="52"/>
      <c r="E21" s="52"/>
      <c r="F21" s="52"/>
      <c r="G21" s="52"/>
      <c r="H21" s="51"/>
    </row>
    <row r="22" customFormat="false" ht="18" hidden="false" customHeight="true" outlineLevel="0" collapsed="false">
      <c r="A22" s="47"/>
      <c r="B22" s="48"/>
      <c r="C22" s="48"/>
      <c r="D22" s="49"/>
      <c r="E22" s="49"/>
      <c r="F22" s="49"/>
      <c r="G22" s="49"/>
      <c r="H22" s="48"/>
    </row>
    <row r="23" customFormat="false" ht="18" hidden="false" customHeight="true" outlineLevel="0" collapsed="false">
      <c r="A23" s="50"/>
      <c r="B23" s="51"/>
      <c r="C23" s="51"/>
      <c r="D23" s="52"/>
      <c r="E23" s="52"/>
      <c r="F23" s="52"/>
      <c r="G23" s="52"/>
      <c r="H23" s="51"/>
    </row>
    <row r="24" customFormat="false" ht="18" hidden="false" customHeight="true" outlineLevel="0" collapsed="false">
      <c r="A24" s="47"/>
      <c r="B24" s="48"/>
      <c r="C24" s="48"/>
      <c r="D24" s="49"/>
      <c r="E24" s="49"/>
      <c r="F24" s="49"/>
      <c r="G24" s="49"/>
      <c r="H24" s="48"/>
    </row>
    <row r="25" customFormat="false" ht="18" hidden="false" customHeight="true" outlineLevel="0" collapsed="false">
      <c r="A25" s="50"/>
      <c r="B25" s="51"/>
      <c r="C25" s="51"/>
      <c r="D25" s="52"/>
      <c r="E25" s="52"/>
      <c r="F25" s="52"/>
      <c r="G25" s="52"/>
      <c r="H25" s="51"/>
    </row>
    <row r="26" customFormat="false" ht="18" hidden="false" customHeight="true" outlineLevel="0" collapsed="false">
      <c r="A26" s="47"/>
      <c r="B26" s="48"/>
      <c r="C26" s="48"/>
      <c r="D26" s="49"/>
      <c r="E26" s="49"/>
      <c r="F26" s="49"/>
      <c r="G26" s="49"/>
      <c r="H26" s="48"/>
    </row>
    <row r="27" customFormat="false" ht="18" hidden="false" customHeight="true" outlineLevel="0" collapsed="false">
      <c r="A27" s="50"/>
      <c r="B27" s="51"/>
      <c r="C27" s="51"/>
      <c r="D27" s="52"/>
      <c r="E27" s="52"/>
      <c r="F27" s="52"/>
      <c r="G27" s="52"/>
      <c r="H27" s="51"/>
    </row>
    <row r="28" customFormat="false" ht="18" hidden="false" customHeight="true" outlineLevel="0" collapsed="false">
      <c r="A28" s="47"/>
      <c r="B28" s="48"/>
      <c r="C28" s="48"/>
      <c r="D28" s="49"/>
      <c r="E28" s="49"/>
      <c r="F28" s="49"/>
      <c r="G28" s="49"/>
      <c r="H28" s="48"/>
    </row>
    <row r="29" customFormat="false" ht="18" hidden="false" customHeight="true" outlineLevel="0" collapsed="false">
      <c r="A29" s="50"/>
      <c r="B29" s="51"/>
      <c r="C29" s="51"/>
      <c r="D29" s="52"/>
      <c r="E29" s="52"/>
      <c r="F29" s="52"/>
      <c r="G29" s="52"/>
      <c r="H29" s="51"/>
    </row>
    <row r="30" customFormat="false" ht="18" hidden="false" customHeight="true" outlineLevel="0" collapsed="false">
      <c r="A30" s="47"/>
      <c r="B30" s="48"/>
      <c r="C30" s="48"/>
      <c r="D30" s="49"/>
      <c r="E30" s="49"/>
      <c r="F30" s="49"/>
      <c r="G30" s="49"/>
      <c r="H30" s="48"/>
    </row>
    <row r="31" customFormat="false" ht="18" hidden="false" customHeight="true" outlineLevel="0" collapsed="false">
      <c r="A31" s="50"/>
      <c r="B31" s="51"/>
      <c r="C31" s="51"/>
      <c r="D31" s="52"/>
      <c r="E31" s="52"/>
      <c r="F31" s="52"/>
      <c r="G31" s="52"/>
      <c r="H31" s="51"/>
    </row>
    <row r="32" customFormat="false" ht="18" hidden="false" customHeight="true" outlineLevel="0" collapsed="false">
      <c r="A32" s="47"/>
      <c r="B32" s="48"/>
      <c r="C32" s="48"/>
      <c r="D32" s="49"/>
      <c r="E32" s="49"/>
      <c r="F32" s="49"/>
      <c r="G32" s="49"/>
      <c r="H32" s="48"/>
    </row>
    <row r="33" customFormat="false" ht="18" hidden="false" customHeight="true" outlineLevel="0" collapsed="false">
      <c r="A33" s="50"/>
      <c r="B33" s="51"/>
      <c r="C33" s="51"/>
      <c r="D33" s="52"/>
      <c r="E33" s="52"/>
      <c r="F33" s="52"/>
      <c r="G33" s="52"/>
      <c r="H33" s="51"/>
    </row>
    <row r="34" customFormat="false" ht="18" hidden="false" customHeight="true" outlineLevel="0" collapsed="false">
      <c r="A34" s="47"/>
      <c r="B34" s="48"/>
      <c r="C34" s="48"/>
      <c r="D34" s="49"/>
      <c r="E34" s="49"/>
      <c r="F34" s="49"/>
      <c r="G34" s="49"/>
      <c r="H34" s="48"/>
    </row>
    <row r="35" customFormat="false" ht="18" hidden="false" customHeight="true" outlineLevel="0" collapsed="false">
      <c r="A35" s="50"/>
      <c r="B35" s="51"/>
      <c r="C35" s="51"/>
      <c r="D35" s="52"/>
      <c r="E35" s="52"/>
      <c r="F35" s="52"/>
      <c r="G35" s="52"/>
      <c r="H35" s="51"/>
    </row>
    <row r="36" customFormat="false" ht="18" hidden="false" customHeight="true" outlineLevel="0" collapsed="false">
      <c r="A36" s="47"/>
      <c r="B36" s="48"/>
      <c r="C36" s="48"/>
      <c r="D36" s="49"/>
      <c r="E36" s="49"/>
      <c r="F36" s="49"/>
      <c r="G36" s="49"/>
      <c r="H36" s="48"/>
    </row>
    <row r="37" customFormat="false" ht="18" hidden="false" customHeight="true" outlineLevel="0" collapsed="false">
      <c r="A37" s="50"/>
      <c r="B37" s="51"/>
      <c r="C37" s="51"/>
      <c r="D37" s="52"/>
      <c r="E37" s="52"/>
      <c r="F37" s="52"/>
      <c r="G37" s="52"/>
      <c r="H37" s="51"/>
    </row>
    <row r="38" customFormat="false" ht="18" hidden="false" customHeight="true" outlineLevel="0" collapsed="false">
      <c r="A38" s="47"/>
      <c r="B38" s="48"/>
      <c r="C38" s="48"/>
      <c r="D38" s="49"/>
      <c r="E38" s="49"/>
      <c r="F38" s="49"/>
      <c r="G38" s="49"/>
      <c r="H38" s="48"/>
    </row>
    <row r="39" customFormat="false" ht="18" hidden="false" customHeight="true" outlineLevel="0" collapsed="false">
      <c r="A39" s="50"/>
      <c r="B39" s="51"/>
      <c r="C39" s="51"/>
      <c r="D39" s="52"/>
      <c r="E39" s="52"/>
      <c r="F39" s="52"/>
      <c r="G39" s="52"/>
      <c r="H39" s="51"/>
    </row>
    <row r="40" customFormat="false" ht="18" hidden="false" customHeight="true" outlineLevel="0" collapsed="false">
      <c r="A40" s="47"/>
      <c r="B40" s="48"/>
      <c r="C40" s="48"/>
      <c r="D40" s="49"/>
      <c r="E40" s="49"/>
      <c r="F40" s="49"/>
      <c r="G40" s="49"/>
      <c r="H40" s="48"/>
    </row>
    <row r="41" customFormat="false" ht="18" hidden="false" customHeight="true" outlineLevel="0" collapsed="false">
      <c r="A41" s="50"/>
      <c r="B41" s="51"/>
      <c r="C41" s="51"/>
      <c r="D41" s="52"/>
      <c r="E41" s="52"/>
      <c r="F41" s="52"/>
      <c r="G41" s="52"/>
      <c r="H41" s="51"/>
    </row>
    <row r="42" customFormat="false" ht="18" hidden="false" customHeight="true" outlineLevel="0" collapsed="false">
      <c r="A42" s="47"/>
      <c r="B42" s="48"/>
      <c r="C42" s="48"/>
      <c r="D42" s="49"/>
      <c r="E42" s="49"/>
      <c r="F42" s="49"/>
      <c r="G42" s="49"/>
      <c r="H42" s="48"/>
    </row>
    <row r="43" customFormat="false" ht="18" hidden="false" customHeight="true" outlineLevel="0" collapsed="false">
      <c r="A43" s="50"/>
      <c r="B43" s="51"/>
      <c r="C43" s="51"/>
      <c r="D43" s="52"/>
      <c r="E43" s="52"/>
      <c r="F43" s="52"/>
      <c r="G43" s="52"/>
      <c r="H43" s="51"/>
    </row>
    <row r="44" customFormat="false" ht="18" hidden="false" customHeight="true" outlineLevel="0" collapsed="false">
      <c r="A44" s="47"/>
      <c r="B44" s="48"/>
      <c r="C44" s="48"/>
      <c r="D44" s="49"/>
      <c r="E44" s="49"/>
      <c r="F44" s="49"/>
      <c r="G44" s="49"/>
      <c r="H44" s="48"/>
    </row>
    <row r="45" customFormat="false" ht="18" hidden="false" customHeight="true" outlineLevel="0" collapsed="false">
      <c r="A45" s="50"/>
      <c r="B45" s="51"/>
      <c r="C45" s="51"/>
      <c r="D45" s="52"/>
      <c r="E45" s="52"/>
      <c r="F45" s="52"/>
      <c r="G45" s="52"/>
      <c r="H45" s="51"/>
    </row>
    <row r="46" customFormat="false" ht="18" hidden="false" customHeight="true" outlineLevel="0" collapsed="false">
      <c r="A46" s="47"/>
      <c r="B46" s="48"/>
      <c r="C46" s="48"/>
      <c r="D46" s="49"/>
      <c r="E46" s="49"/>
      <c r="F46" s="49"/>
      <c r="G46" s="49"/>
      <c r="H46" s="48"/>
    </row>
    <row r="47" customFormat="false" ht="18" hidden="false" customHeight="true" outlineLevel="0" collapsed="false">
      <c r="A47" s="50"/>
      <c r="B47" s="51"/>
      <c r="C47" s="51"/>
      <c r="D47" s="52"/>
      <c r="E47" s="52"/>
      <c r="F47" s="52"/>
      <c r="G47" s="52"/>
      <c r="H47" s="51"/>
    </row>
    <row r="48" customFormat="false" ht="18" hidden="false" customHeight="true" outlineLevel="0" collapsed="false">
      <c r="A48" s="47"/>
      <c r="B48" s="48"/>
      <c r="C48" s="48"/>
      <c r="D48" s="49"/>
      <c r="E48" s="49"/>
      <c r="F48" s="49"/>
      <c r="G48" s="49"/>
      <c r="H48" s="48"/>
    </row>
    <row r="49" customFormat="false" ht="18" hidden="false" customHeight="true" outlineLevel="0" collapsed="false">
      <c r="A49" s="50"/>
      <c r="B49" s="51"/>
      <c r="C49" s="51"/>
      <c r="D49" s="52"/>
      <c r="E49" s="52"/>
      <c r="F49" s="52"/>
      <c r="G49" s="52"/>
      <c r="H49" s="51"/>
    </row>
    <row r="50" customFormat="false" ht="18" hidden="false" customHeight="true" outlineLevel="0" collapsed="false">
      <c r="A50" s="47"/>
      <c r="B50" s="48"/>
      <c r="C50" s="48"/>
      <c r="D50" s="49"/>
      <c r="E50" s="49"/>
      <c r="F50" s="49"/>
      <c r="G50" s="49"/>
      <c r="H50" s="48"/>
    </row>
    <row r="51" customFormat="false" ht="18" hidden="false" customHeight="true" outlineLevel="0" collapsed="false">
      <c r="A51" s="50"/>
      <c r="B51" s="51"/>
      <c r="C51" s="51"/>
      <c r="D51" s="52"/>
      <c r="E51" s="52"/>
      <c r="F51" s="52"/>
      <c r="G51" s="52"/>
      <c r="H51" s="51"/>
    </row>
    <row r="52" customFormat="false" ht="18" hidden="false" customHeight="true" outlineLevel="0" collapsed="false">
      <c r="A52" s="47"/>
      <c r="B52" s="48"/>
      <c r="C52" s="48"/>
      <c r="D52" s="49"/>
      <c r="E52" s="49"/>
      <c r="F52" s="49"/>
      <c r="G52" s="49"/>
      <c r="H52" s="48"/>
    </row>
    <row r="53" customFormat="false" ht="18" hidden="false" customHeight="true" outlineLevel="0" collapsed="false">
      <c r="A53" s="50"/>
      <c r="B53" s="51"/>
      <c r="C53" s="51"/>
      <c r="D53" s="52"/>
      <c r="E53" s="52"/>
      <c r="F53" s="52"/>
      <c r="G53" s="52"/>
      <c r="H53" s="51"/>
    </row>
    <row r="54" customFormat="false" ht="18" hidden="false" customHeight="true" outlineLevel="0" collapsed="false">
      <c r="A54" s="47"/>
      <c r="B54" s="48"/>
      <c r="C54" s="48"/>
      <c r="D54" s="49"/>
      <c r="E54" s="49"/>
      <c r="F54" s="49"/>
      <c r="G54" s="49"/>
      <c r="H54" s="48"/>
    </row>
    <row r="55" customFormat="false" ht="18" hidden="false" customHeight="true" outlineLevel="0" collapsed="false">
      <c r="A55" s="50"/>
      <c r="B55" s="51"/>
      <c r="C55" s="51"/>
      <c r="D55" s="52"/>
      <c r="E55" s="52"/>
      <c r="F55" s="52"/>
      <c r="G55" s="52"/>
      <c r="H55" s="51"/>
    </row>
    <row r="56" customFormat="false" ht="18" hidden="false" customHeight="true" outlineLevel="0" collapsed="false">
      <c r="A56" s="47"/>
      <c r="B56" s="48"/>
      <c r="C56" s="48"/>
      <c r="D56" s="49"/>
      <c r="E56" s="49"/>
      <c r="F56" s="49"/>
      <c r="G56" s="49"/>
      <c r="H56" s="48"/>
    </row>
    <row r="57" customFormat="false" ht="18" hidden="false" customHeight="true" outlineLevel="0" collapsed="false">
      <c r="A57" s="50"/>
      <c r="B57" s="51"/>
      <c r="C57" s="51"/>
      <c r="D57" s="52"/>
      <c r="E57" s="52"/>
      <c r="F57" s="52"/>
      <c r="G57" s="52"/>
      <c r="H57" s="51"/>
    </row>
    <row r="58" customFormat="false" ht="18" hidden="false" customHeight="true" outlineLevel="0" collapsed="false">
      <c r="A58" s="47"/>
      <c r="B58" s="48"/>
      <c r="C58" s="48"/>
      <c r="D58" s="49"/>
      <c r="E58" s="49"/>
      <c r="F58" s="49"/>
      <c r="G58" s="49"/>
      <c r="H58" s="48"/>
    </row>
    <row r="59" customFormat="false" ht="18" hidden="false" customHeight="true" outlineLevel="0" collapsed="false">
      <c r="A59" s="50"/>
      <c r="B59" s="51"/>
      <c r="C59" s="51"/>
      <c r="D59" s="52"/>
      <c r="E59" s="52"/>
      <c r="F59" s="52"/>
      <c r="G59" s="52"/>
      <c r="H59" s="51"/>
    </row>
    <row r="60" customFormat="false" ht="18" hidden="false" customHeight="true" outlineLevel="0" collapsed="false">
      <c r="A60" s="47"/>
      <c r="B60" s="48"/>
      <c r="C60" s="48"/>
      <c r="D60" s="49"/>
      <c r="E60" s="49"/>
      <c r="F60" s="49"/>
      <c r="G60" s="49"/>
      <c r="H60" s="48"/>
    </row>
    <row r="61" customFormat="false" ht="18" hidden="false" customHeight="true" outlineLevel="0" collapsed="false">
      <c r="A61" s="50"/>
      <c r="B61" s="51"/>
      <c r="C61" s="51"/>
      <c r="D61" s="52"/>
      <c r="E61" s="52"/>
      <c r="F61" s="52"/>
      <c r="G61" s="52"/>
      <c r="H61" s="51"/>
    </row>
    <row r="62" customFormat="false" ht="18" hidden="false" customHeight="true" outlineLevel="0" collapsed="false">
      <c r="A62" s="47"/>
      <c r="B62" s="48"/>
      <c r="C62" s="48"/>
      <c r="D62" s="49"/>
      <c r="E62" s="49"/>
      <c r="F62" s="49"/>
      <c r="G62" s="49"/>
      <c r="H62" s="48"/>
    </row>
    <row r="63" customFormat="false" ht="18" hidden="false" customHeight="true" outlineLevel="0" collapsed="false">
      <c r="A63" s="50"/>
      <c r="B63" s="51"/>
      <c r="C63" s="51"/>
      <c r="D63" s="52"/>
      <c r="E63" s="52"/>
      <c r="F63" s="52"/>
      <c r="G63" s="52"/>
      <c r="H63" s="51"/>
    </row>
    <row r="64" customFormat="false" ht="18" hidden="false" customHeight="true" outlineLevel="0" collapsed="false">
      <c r="A64" s="47"/>
      <c r="B64" s="48"/>
      <c r="C64" s="48"/>
      <c r="D64" s="49"/>
      <c r="E64" s="49"/>
      <c r="F64" s="49"/>
      <c r="G64" s="49"/>
      <c r="H64" s="48"/>
    </row>
    <row r="65" customFormat="false" ht="18" hidden="false" customHeight="true" outlineLevel="0" collapsed="false">
      <c r="A65" s="50"/>
      <c r="B65" s="51"/>
      <c r="C65" s="51"/>
      <c r="D65" s="52"/>
      <c r="E65" s="52"/>
      <c r="F65" s="52"/>
      <c r="G65" s="52"/>
      <c r="H65" s="51"/>
    </row>
    <row r="66" customFormat="false" ht="18" hidden="false" customHeight="true" outlineLevel="0" collapsed="false">
      <c r="A66" s="47"/>
      <c r="B66" s="48"/>
      <c r="C66" s="48"/>
      <c r="D66" s="49"/>
      <c r="E66" s="49"/>
      <c r="F66" s="49"/>
      <c r="G66" s="49"/>
      <c r="H66" s="48"/>
    </row>
    <row r="67" customFormat="false" ht="18" hidden="false" customHeight="true" outlineLevel="0" collapsed="false">
      <c r="A67" s="50"/>
      <c r="B67" s="51"/>
      <c r="C67" s="51"/>
      <c r="D67" s="52"/>
      <c r="E67" s="52"/>
      <c r="F67" s="52"/>
      <c r="G67" s="52"/>
      <c r="H67" s="51"/>
    </row>
    <row r="68" customFormat="false" ht="18" hidden="false" customHeight="true" outlineLevel="0" collapsed="false">
      <c r="A68" s="47"/>
      <c r="B68" s="48"/>
      <c r="C68" s="48"/>
      <c r="D68" s="49"/>
      <c r="E68" s="49"/>
      <c r="F68" s="49"/>
      <c r="G68" s="49"/>
      <c r="H68" s="48"/>
    </row>
    <row r="69" customFormat="false" ht="18" hidden="false" customHeight="true" outlineLevel="0" collapsed="false">
      <c r="A69" s="50"/>
      <c r="B69" s="51"/>
      <c r="C69" s="51"/>
      <c r="D69" s="52"/>
      <c r="E69" s="52"/>
      <c r="F69" s="52"/>
      <c r="G69" s="52"/>
      <c r="H69" s="51"/>
    </row>
    <row r="70" customFormat="false" ht="18" hidden="false" customHeight="true" outlineLevel="0" collapsed="false">
      <c r="A70" s="47"/>
      <c r="B70" s="48"/>
      <c r="C70" s="48"/>
      <c r="D70" s="49"/>
      <c r="E70" s="49"/>
      <c r="F70" s="49"/>
      <c r="G70" s="49"/>
      <c r="H70" s="48"/>
    </row>
    <row r="71" customFormat="false" ht="18" hidden="false" customHeight="true" outlineLevel="0" collapsed="false">
      <c r="A71" s="50"/>
      <c r="B71" s="51"/>
      <c r="C71" s="51"/>
      <c r="D71" s="52"/>
      <c r="E71" s="52"/>
      <c r="F71" s="52"/>
      <c r="G71" s="52"/>
      <c r="H71" s="51"/>
    </row>
    <row r="72" customFormat="false" ht="18" hidden="false" customHeight="true" outlineLevel="0" collapsed="false">
      <c r="A72" s="47"/>
      <c r="B72" s="48"/>
      <c r="C72" s="48"/>
      <c r="D72" s="49"/>
      <c r="E72" s="49"/>
      <c r="F72" s="49"/>
      <c r="G72" s="49"/>
      <c r="H72" s="48"/>
    </row>
    <row r="73" customFormat="false" ht="18" hidden="false" customHeight="true" outlineLevel="0" collapsed="false">
      <c r="A73" s="50"/>
      <c r="B73" s="51"/>
      <c r="C73" s="51"/>
      <c r="D73" s="52"/>
      <c r="E73" s="52"/>
      <c r="F73" s="52"/>
      <c r="G73" s="52"/>
      <c r="H73" s="51"/>
    </row>
    <row r="74" customFormat="false" ht="18" hidden="false" customHeight="true" outlineLevel="0" collapsed="false">
      <c r="A74" s="47"/>
      <c r="B74" s="48"/>
      <c r="C74" s="48"/>
      <c r="D74" s="49"/>
      <c r="E74" s="49"/>
      <c r="F74" s="49"/>
      <c r="G74" s="49"/>
      <c r="H74" s="48"/>
    </row>
    <row r="75" customFormat="false" ht="18" hidden="false" customHeight="true" outlineLevel="0" collapsed="false">
      <c r="A75" s="50"/>
      <c r="B75" s="51"/>
      <c r="C75" s="51"/>
      <c r="D75" s="52"/>
      <c r="E75" s="52"/>
      <c r="F75" s="52"/>
      <c r="G75" s="52"/>
      <c r="H75" s="51"/>
    </row>
    <row r="76" customFormat="false" ht="18" hidden="false" customHeight="true" outlineLevel="0" collapsed="false">
      <c r="A76" s="47"/>
      <c r="B76" s="48"/>
      <c r="C76" s="48"/>
      <c r="D76" s="49"/>
      <c r="E76" s="49"/>
      <c r="F76" s="49"/>
      <c r="G76" s="49"/>
      <c r="H76" s="48"/>
    </row>
    <row r="77" customFormat="false" ht="18" hidden="false" customHeight="true" outlineLevel="0" collapsed="false">
      <c r="A77" s="50"/>
      <c r="B77" s="51"/>
      <c r="C77" s="51"/>
      <c r="D77" s="52"/>
      <c r="E77" s="52"/>
      <c r="F77" s="52"/>
      <c r="G77" s="52"/>
      <c r="H77" s="51"/>
    </row>
    <row r="78" customFormat="false" ht="18" hidden="false" customHeight="true" outlineLevel="0" collapsed="false">
      <c r="A78" s="47"/>
      <c r="B78" s="48"/>
      <c r="C78" s="48"/>
      <c r="D78" s="49"/>
      <c r="E78" s="49"/>
      <c r="F78" s="49"/>
      <c r="G78" s="49"/>
      <c r="H78" s="48"/>
    </row>
    <row r="79" customFormat="false" ht="18" hidden="false" customHeight="true" outlineLevel="0" collapsed="false">
      <c r="A79" s="50"/>
      <c r="B79" s="51"/>
      <c r="C79" s="51"/>
      <c r="D79" s="52"/>
      <c r="E79" s="52"/>
      <c r="F79" s="52"/>
      <c r="G79" s="52"/>
      <c r="H79" s="51"/>
    </row>
    <row r="80" customFormat="false" ht="18" hidden="false" customHeight="true" outlineLevel="0" collapsed="false">
      <c r="A80" s="47"/>
      <c r="B80" s="48"/>
      <c r="C80" s="48"/>
      <c r="D80" s="49"/>
      <c r="E80" s="49"/>
      <c r="F80" s="49"/>
      <c r="G80" s="49"/>
      <c r="H80" s="48"/>
    </row>
    <row r="81" customFormat="false" ht="18" hidden="false" customHeight="true" outlineLevel="0" collapsed="false">
      <c r="A81" s="50"/>
      <c r="B81" s="51"/>
      <c r="C81" s="51"/>
      <c r="D81" s="52"/>
      <c r="E81" s="52"/>
      <c r="F81" s="52"/>
      <c r="G81" s="52"/>
      <c r="H81" s="51"/>
    </row>
    <row r="82" customFormat="false" ht="18" hidden="false" customHeight="true" outlineLevel="0" collapsed="false">
      <c r="A82" s="47"/>
      <c r="B82" s="48"/>
      <c r="C82" s="48"/>
      <c r="D82" s="49"/>
      <c r="E82" s="49"/>
      <c r="F82" s="49"/>
      <c r="G82" s="49"/>
      <c r="H82" s="48"/>
    </row>
    <row r="83" customFormat="false" ht="18" hidden="false" customHeight="true" outlineLevel="0" collapsed="false">
      <c r="A83" s="50"/>
      <c r="B83" s="51"/>
      <c r="C83" s="51"/>
      <c r="D83" s="52"/>
      <c r="E83" s="52"/>
      <c r="F83" s="52"/>
      <c r="G83" s="52"/>
      <c r="H83" s="51"/>
    </row>
    <row r="84" customFormat="false" ht="18" hidden="false" customHeight="true" outlineLevel="0" collapsed="false">
      <c r="A84" s="47"/>
      <c r="B84" s="48"/>
      <c r="C84" s="48"/>
      <c r="D84" s="49"/>
      <c r="E84" s="49"/>
      <c r="F84" s="49"/>
      <c r="G84" s="49"/>
      <c r="H84" s="48"/>
    </row>
    <row r="85" customFormat="false" ht="18" hidden="false" customHeight="true" outlineLevel="0" collapsed="false">
      <c r="A85" s="50"/>
      <c r="B85" s="51"/>
      <c r="C85" s="51"/>
      <c r="D85" s="52"/>
      <c r="E85" s="52"/>
      <c r="F85" s="52"/>
      <c r="G85" s="52"/>
      <c r="H85" s="51"/>
    </row>
    <row r="86" customFormat="false" ht="18" hidden="false" customHeight="true" outlineLevel="0" collapsed="false">
      <c r="A86" s="47"/>
      <c r="B86" s="48"/>
      <c r="C86" s="48"/>
      <c r="D86" s="49"/>
      <c r="E86" s="49"/>
      <c r="F86" s="49"/>
      <c r="G86" s="49"/>
      <c r="H86" s="48"/>
    </row>
    <row r="87" customFormat="false" ht="18" hidden="false" customHeight="true" outlineLevel="0" collapsed="false">
      <c r="A87" s="50"/>
      <c r="B87" s="51"/>
      <c r="C87" s="51"/>
      <c r="D87" s="52"/>
      <c r="E87" s="52"/>
      <c r="F87" s="52"/>
      <c r="G87" s="52"/>
      <c r="H87" s="51"/>
    </row>
    <row r="88" customFormat="false" ht="18" hidden="false" customHeight="true" outlineLevel="0" collapsed="false">
      <c r="A88" s="47"/>
      <c r="B88" s="48"/>
      <c r="C88" s="48"/>
      <c r="D88" s="49"/>
      <c r="E88" s="49"/>
      <c r="F88" s="49"/>
      <c r="G88" s="49"/>
      <c r="H88" s="48"/>
    </row>
    <row r="89" customFormat="false" ht="18" hidden="false" customHeight="true" outlineLevel="0" collapsed="false">
      <c r="A89" s="50"/>
      <c r="B89" s="51"/>
      <c r="C89" s="51"/>
      <c r="D89" s="52"/>
      <c r="E89" s="52"/>
      <c r="F89" s="52"/>
      <c r="G89" s="52"/>
      <c r="H89" s="51"/>
    </row>
    <row r="90" customFormat="false" ht="18" hidden="false" customHeight="true" outlineLevel="0" collapsed="false">
      <c r="A90" s="47"/>
      <c r="B90" s="48"/>
      <c r="C90" s="48"/>
      <c r="D90" s="49"/>
      <c r="E90" s="49"/>
      <c r="F90" s="49"/>
      <c r="G90" s="49"/>
      <c r="H90" s="48"/>
    </row>
    <row r="91" customFormat="false" ht="18" hidden="false" customHeight="true" outlineLevel="0" collapsed="false">
      <c r="A91" s="50"/>
      <c r="B91" s="51"/>
      <c r="C91" s="51"/>
      <c r="D91" s="52"/>
      <c r="E91" s="52"/>
      <c r="F91" s="52"/>
      <c r="G91" s="52"/>
      <c r="H91" s="51"/>
    </row>
    <row r="92" customFormat="false" ht="18" hidden="false" customHeight="true" outlineLevel="0" collapsed="false">
      <c r="A92" s="47"/>
      <c r="B92" s="48"/>
      <c r="C92" s="48"/>
      <c r="D92" s="49"/>
      <c r="E92" s="49"/>
      <c r="F92" s="49"/>
      <c r="G92" s="49"/>
      <c r="H92" s="48"/>
    </row>
    <row r="93" customFormat="false" ht="18" hidden="false" customHeight="true" outlineLevel="0" collapsed="false">
      <c r="A93" s="50"/>
      <c r="B93" s="51"/>
      <c r="C93" s="51"/>
      <c r="D93" s="52"/>
      <c r="E93" s="52"/>
      <c r="F93" s="52"/>
      <c r="G93" s="52"/>
      <c r="H93" s="51"/>
    </row>
    <row r="94" customFormat="false" ht="18" hidden="false" customHeight="true" outlineLevel="0" collapsed="false">
      <c r="A94" s="47"/>
      <c r="B94" s="48"/>
      <c r="C94" s="48"/>
      <c r="D94" s="49"/>
      <c r="E94" s="49"/>
      <c r="F94" s="49"/>
      <c r="G94" s="49"/>
      <c r="H94" s="48"/>
    </row>
    <row r="95" customFormat="false" ht="18" hidden="false" customHeight="true" outlineLevel="0" collapsed="false">
      <c r="A95" s="50"/>
      <c r="B95" s="51"/>
      <c r="C95" s="51"/>
      <c r="D95" s="52"/>
      <c r="E95" s="52"/>
      <c r="F95" s="52"/>
      <c r="G95" s="52"/>
      <c r="H95" s="51"/>
    </row>
    <row r="96" customFormat="false" ht="18" hidden="false" customHeight="true" outlineLevel="0" collapsed="false">
      <c r="A96" s="47"/>
      <c r="B96" s="48"/>
      <c r="C96" s="48"/>
      <c r="D96" s="49"/>
      <c r="E96" s="49"/>
      <c r="F96" s="49"/>
      <c r="G96" s="49"/>
      <c r="H96" s="48"/>
    </row>
    <row r="97" customFormat="false" ht="18" hidden="false" customHeight="true" outlineLevel="0" collapsed="false">
      <c r="A97" s="50"/>
      <c r="B97" s="51"/>
      <c r="C97" s="51"/>
      <c r="D97" s="52"/>
      <c r="E97" s="52"/>
      <c r="F97" s="52"/>
      <c r="G97" s="52"/>
      <c r="H97" s="51"/>
    </row>
    <row r="98" customFormat="false" ht="18" hidden="false" customHeight="true" outlineLevel="0" collapsed="false">
      <c r="A98" s="47"/>
      <c r="B98" s="48"/>
      <c r="C98" s="48"/>
      <c r="D98" s="49"/>
      <c r="E98" s="49"/>
      <c r="F98" s="49"/>
      <c r="G98" s="49"/>
      <c r="H98" s="48"/>
    </row>
    <row r="99" customFormat="false" ht="18" hidden="false" customHeight="true" outlineLevel="0" collapsed="false">
      <c r="A99" s="50"/>
      <c r="B99" s="51"/>
      <c r="C99" s="51"/>
      <c r="D99" s="52"/>
      <c r="E99" s="52"/>
      <c r="F99" s="52"/>
      <c r="G99" s="52"/>
      <c r="H99" s="51"/>
    </row>
    <row r="100" customFormat="false" ht="18" hidden="false" customHeight="true" outlineLevel="0" collapsed="false">
      <c r="A100" s="47"/>
      <c r="B100" s="48"/>
      <c r="C100" s="48"/>
      <c r="D100" s="49"/>
      <c r="E100" s="49"/>
      <c r="F100" s="49"/>
      <c r="G100" s="49"/>
      <c r="H100" s="48"/>
    </row>
    <row r="101" customFormat="false" ht="18" hidden="false" customHeight="true" outlineLevel="0" collapsed="false">
      <c r="A101" s="50"/>
      <c r="B101" s="51"/>
      <c r="C101" s="51"/>
      <c r="D101" s="52"/>
      <c r="E101" s="52"/>
      <c r="F101" s="52"/>
      <c r="G101" s="52"/>
      <c r="H101" s="51"/>
    </row>
    <row r="102" customFormat="false" ht="18" hidden="false" customHeight="true" outlineLevel="0" collapsed="false">
      <c r="A102" s="47"/>
      <c r="B102" s="48"/>
      <c r="C102" s="48"/>
      <c r="D102" s="49"/>
      <c r="E102" s="49"/>
      <c r="F102" s="49"/>
      <c r="G102" s="49"/>
      <c r="H102" s="48"/>
    </row>
    <row r="103" customFormat="false" ht="18" hidden="false" customHeight="true" outlineLevel="0" collapsed="false">
      <c r="A103" s="50"/>
      <c r="B103" s="51"/>
      <c r="C103" s="51"/>
      <c r="D103" s="52"/>
      <c r="E103" s="52"/>
      <c r="F103" s="52"/>
      <c r="G103" s="52"/>
      <c r="H103" s="51"/>
    </row>
    <row r="105" customFormat="false" ht="9.75" hidden="false" customHeight="true" outlineLevel="0" collapsed="false"/>
    <row r="106" customFormat="false" ht="25.5" hidden="false" customHeight="true" outlineLevel="0" collapsed="false">
      <c r="A106" s="26" t="s">
        <v>131</v>
      </c>
      <c r="B106" s="26"/>
      <c r="C106" s="26"/>
      <c r="D106" s="26"/>
      <c r="E106" s="26"/>
      <c r="F106" s="26"/>
      <c r="G106" s="26"/>
      <c r="H106" s="26"/>
    </row>
    <row r="107" customFormat="false" ht="21.75" hidden="false" customHeight="true" outlineLevel="0" collapsed="false">
      <c r="A107" s="29" t="s">
        <v>126</v>
      </c>
      <c r="B107" s="29" t="s">
        <v>5</v>
      </c>
      <c r="C107" s="29" t="s">
        <v>6</v>
      </c>
      <c r="D107" s="29" t="s">
        <v>132</v>
      </c>
      <c r="E107" s="29" t="s">
        <v>133</v>
      </c>
    </row>
    <row r="108" customFormat="false" ht="19.5" hidden="false" customHeight="true" outlineLevel="0" collapsed="false">
      <c r="A108" s="10" t="s">
        <v>134</v>
      </c>
      <c r="B108" s="53" t="n">
        <f aca="false">COUNTIFS(D$4:D$103,A108,G$4:G$103,"Win")</f>
        <v>0</v>
      </c>
      <c r="C108" s="53" t="n">
        <f aca="false">COUNTIFS(D$4:D$103,A108,G$4:G$103,"Loss")</f>
        <v>0</v>
      </c>
      <c r="D108" s="53" t="n">
        <f aca="false">B108+C108</f>
        <v>0</v>
      </c>
      <c r="E108" s="54" t="n">
        <f aca="false">IFERROR(B108/D108,0)</f>
        <v>0</v>
      </c>
    </row>
    <row r="109" customFormat="false" ht="19.5" hidden="false" customHeight="true" outlineLevel="0" collapsed="false">
      <c r="A109" s="17" t="s">
        <v>135</v>
      </c>
      <c r="B109" s="55" t="n">
        <f aca="false">COUNTIFS(D$4:D$103,A109,G$4:G$103,"Win")</f>
        <v>0</v>
      </c>
      <c r="C109" s="55" t="n">
        <f aca="false">COUNTIFS(D$4:D$103,A109,G$4:G$103,"Loss")</f>
        <v>0</v>
      </c>
      <c r="D109" s="55" t="n">
        <f aca="false">B109+C109</f>
        <v>0</v>
      </c>
      <c r="E109" s="56" t="n">
        <f aca="false">IFERROR(B109/D109,0)</f>
        <v>0</v>
      </c>
    </row>
    <row r="110" customFormat="false" ht="19.5" hidden="false" customHeight="true" outlineLevel="0" collapsed="false">
      <c r="A110" s="10" t="s">
        <v>136</v>
      </c>
      <c r="B110" s="53" t="n">
        <f aca="false">COUNTIFS(D$4:D$103,A110,G$4:G$103,"Win")</f>
        <v>0</v>
      </c>
      <c r="C110" s="53" t="n">
        <f aca="false">COUNTIFS(D$4:D$103,A110,G$4:G$103,"Loss")</f>
        <v>0</v>
      </c>
      <c r="D110" s="53" t="n">
        <f aca="false">B110+C110</f>
        <v>0</v>
      </c>
      <c r="E110" s="54" t="n">
        <f aca="false">IFERROR(B110/D110,0)</f>
        <v>0</v>
      </c>
    </row>
    <row r="111" customFormat="false" ht="19.5" hidden="false" customHeight="true" outlineLevel="0" collapsed="false">
      <c r="A111" s="17" t="s">
        <v>137</v>
      </c>
      <c r="B111" s="55" t="n">
        <f aca="false">COUNTIFS(D$4:D$103,A111,G$4:G$103,"Win")</f>
        <v>0</v>
      </c>
      <c r="C111" s="55" t="n">
        <f aca="false">COUNTIFS(D$4:D$103,A111,G$4:G$103,"Loss")</f>
        <v>0</v>
      </c>
      <c r="D111" s="55" t="n">
        <f aca="false">B111+C111</f>
        <v>0</v>
      </c>
      <c r="E111" s="56" t="n">
        <f aca="false">IFERROR(B111/D111,0)</f>
        <v>0</v>
      </c>
    </row>
    <row r="112" customFormat="false" ht="19.5" hidden="false" customHeight="true" outlineLevel="0" collapsed="false">
      <c r="A112" s="10" t="s">
        <v>138</v>
      </c>
      <c r="B112" s="53" t="n">
        <f aca="false">COUNTIFS(D$4:D$103,A112,G$4:G$103,"Win")</f>
        <v>0</v>
      </c>
      <c r="C112" s="53" t="n">
        <f aca="false">COUNTIFS(D$4:D$103,A112,G$4:G$103,"Loss")</f>
        <v>0</v>
      </c>
      <c r="D112" s="53" t="n">
        <f aca="false">B112+C112</f>
        <v>0</v>
      </c>
      <c r="E112" s="54" t="n">
        <f aca="false">IFERROR(B112/D112,0)</f>
        <v>0</v>
      </c>
    </row>
    <row r="113" customFormat="false" ht="19.5" hidden="false" customHeight="true" outlineLevel="0" collapsed="false">
      <c r="A113" s="17" t="s">
        <v>139</v>
      </c>
      <c r="B113" s="55" t="n">
        <f aca="false">COUNTIFS(D$4:D$103,A113,G$4:G$103,"Win")</f>
        <v>0</v>
      </c>
      <c r="C113" s="55" t="n">
        <f aca="false">COUNTIFS(D$4:D$103,A113,G$4:G$103,"Loss")</f>
        <v>0</v>
      </c>
      <c r="D113" s="55" t="n">
        <f aca="false">B113+C113</f>
        <v>0</v>
      </c>
      <c r="E113" s="56" t="n">
        <f aca="false">IFERROR(B113/D113,0)</f>
        <v>0</v>
      </c>
    </row>
    <row r="114" customFormat="false" ht="19.5" hidden="false" customHeight="true" outlineLevel="0" collapsed="false">
      <c r="A114" s="10" t="s">
        <v>140</v>
      </c>
      <c r="B114" s="53" t="n">
        <f aca="false">COUNTIFS(D$4:D$103,A114,G$4:G$103,"Win")</f>
        <v>0</v>
      </c>
      <c r="C114" s="53" t="n">
        <f aca="false">COUNTIFS(D$4:D$103,A114,G$4:G$103,"Loss")</f>
        <v>0</v>
      </c>
      <c r="D114" s="53" t="n">
        <f aca="false">B114+C114</f>
        <v>0</v>
      </c>
      <c r="E114" s="54" t="n">
        <f aca="false">IFERROR(B114/D114,0)</f>
        <v>0</v>
      </c>
    </row>
    <row r="115" customFormat="false" ht="19.5" hidden="false" customHeight="true" outlineLevel="0" collapsed="false">
      <c r="A115" s="17" t="s">
        <v>141</v>
      </c>
      <c r="B115" s="55" t="n">
        <f aca="false">COUNTIFS(D$4:D$103,A115,G$4:G$103,"Win")</f>
        <v>0</v>
      </c>
      <c r="C115" s="55" t="n">
        <f aca="false">COUNTIFS(D$4:D$103,A115,G$4:G$103,"Loss")</f>
        <v>0</v>
      </c>
      <c r="D115" s="55" t="n">
        <f aca="false">B115+C115</f>
        <v>0</v>
      </c>
      <c r="E115" s="56" t="n">
        <f aca="false">IFERROR(B115/D115,0)</f>
        <v>0</v>
      </c>
    </row>
    <row r="116" customFormat="false" ht="19.5" hidden="false" customHeight="true" outlineLevel="0" collapsed="false">
      <c r="A116" s="10" t="s">
        <v>142</v>
      </c>
      <c r="B116" s="53" t="n">
        <f aca="false">COUNTIFS(D$4:D$103,A116,G$4:G$103,"Win")</f>
        <v>0</v>
      </c>
      <c r="C116" s="53" t="n">
        <f aca="false">COUNTIFS(D$4:D$103,A116,G$4:G$103,"Loss")</f>
        <v>0</v>
      </c>
      <c r="D116" s="53" t="n">
        <f aca="false">B116+C116</f>
        <v>0</v>
      </c>
      <c r="E116" s="54" t="n">
        <f aca="false">IFERROR(B116/D116,0)</f>
        <v>0</v>
      </c>
    </row>
    <row r="117" customFormat="false" ht="19.5" hidden="false" customHeight="true" outlineLevel="0" collapsed="false">
      <c r="A117" s="17" t="s">
        <v>143</v>
      </c>
      <c r="B117" s="55" t="n">
        <f aca="false">COUNTIFS(D$4:D$103,A117,G$4:G$103,"Win")</f>
        <v>0</v>
      </c>
      <c r="C117" s="55" t="n">
        <f aca="false">COUNTIFS(D$4:D$103,A117,G$4:G$103,"Loss")</f>
        <v>0</v>
      </c>
      <c r="D117" s="55" t="n">
        <f aca="false">B117+C117</f>
        <v>0</v>
      </c>
      <c r="E117" s="56" t="n">
        <f aca="false">IFERROR(B117/D117,0)</f>
        <v>0</v>
      </c>
    </row>
    <row r="118" customFormat="false" ht="19.5" hidden="false" customHeight="true" outlineLevel="0" collapsed="false">
      <c r="A118" s="10" t="s">
        <v>144</v>
      </c>
      <c r="B118" s="53" t="n">
        <f aca="false">COUNTIFS(D$4:D$103,A118,G$4:G$103,"Win")</f>
        <v>0</v>
      </c>
      <c r="C118" s="53" t="n">
        <f aca="false">COUNTIFS(D$4:D$103,A118,G$4:G$103,"Loss")</f>
        <v>0</v>
      </c>
      <c r="D118" s="53" t="n">
        <f aca="false">B118+C118</f>
        <v>0</v>
      </c>
      <c r="E118" s="54" t="n">
        <f aca="false">IFERROR(B118/D118,0)</f>
        <v>0</v>
      </c>
    </row>
    <row r="119" customFormat="false" ht="19.5" hidden="false" customHeight="true" outlineLevel="0" collapsed="false">
      <c r="A119" s="17" t="s">
        <v>145</v>
      </c>
      <c r="B119" s="55" t="n">
        <f aca="false">COUNTIFS(D$4:D$103,A119,G$4:G$103,"Win")</f>
        <v>0</v>
      </c>
      <c r="C119" s="55" t="n">
        <f aca="false">COUNTIFS(D$4:D$103,A119,G$4:G$103,"Loss")</f>
        <v>0</v>
      </c>
      <c r="D119" s="55" t="n">
        <f aca="false">B119+C119</f>
        <v>0</v>
      </c>
      <c r="E119" s="56" t="n">
        <f aca="false">IFERROR(B119/D119,0)</f>
        <v>0</v>
      </c>
    </row>
    <row r="120" customFormat="false" ht="19.5" hidden="false" customHeight="true" outlineLevel="0" collapsed="false">
      <c r="A120" s="10" t="s">
        <v>146</v>
      </c>
      <c r="B120" s="53" t="n">
        <f aca="false">COUNTIFS(D$4:D$103,A120,G$4:G$103,"Win")</f>
        <v>0</v>
      </c>
      <c r="C120" s="53" t="n">
        <f aca="false">COUNTIFS(D$4:D$103,A120,G$4:G$103,"Loss")</f>
        <v>0</v>
      </c>
      <c r="D120" s="53" t="n">
        <f aca="false">B120+C120</f>
        <v>0</v>
      </c>
      <c r="E120" s="54" t="n">
        <f aca="false">IFERROR(B120/D120,0)</f>
        <v>0</v>
      </c>
    </row>
  </sheetData>
  <mergeCells count="3">
    <mergeCell ref="A1:H1"/>
    <mergeCell ref="A2:H2"/>
    <mergeCell ref="A106:H106"/>
  </mergeCells>
  <conditionalFormatting sqref="A4:H103">
    <cfRule type="expression" priority="2" aboveAverage="0" equalAverage="0" bottom="0" percent="0" rank="0" text="" dxfId="0">
      <formula>$G4="Win"</formula>
    </cfRule>
    <cfRule type="expression" priority="3" aboveAverage="0" equalAverage="0" bottom="0" percent="0" rank="0" text="" dxfId="1">
      <formula>$G4="Loss"</formula>
    </cfRule>
  </conditionalFormatting>
  <conditionalFormatting sqref="E108:E121">
    <cfRule type="colorScale" priority="4">
      <colorScale>
        <cfvo type="num" val="0.4"/>
        <cfvo type="num" val="0.525"/>
        <cfvo type="num" val="0.65"/>
        <color rgb="FFF8D7DA"/>
        <color rgb="FFFFFFFF"/>
        <color rgb="FFD4EDDA"/>
      </colorScale>
    </cfRule>
  </conditionalFormatting>
  <dataValidations count="2">
    <dataValidation allowBlank="true" errorStyle="stop" operator="between" showDropDown="false" showErrorMessage="false" showInputMessage="false" sqref="D4:D103" type="list">
      <formula1>"Road Favorite,Home Underdog,Revenge Game,Look-Ahead Spot,Bounce-Back (after loss),Conf vs Non-Conf,Short Rest,Extended Rest,Weather Impact,Large Favorite (10+),Large Dog (+10),Neutral Site,Other"</formula1>
      <formula2>0</formula2>
    </dataValidation>
    <dataValidation allowBlank="true" errorStyle="stop" operator="between" showDropDown="false" showErrorMessage="false" showInputMessage="false" sqref="G4:G103" type="list">
      <formula1>"Win,Loss,Push,Pending"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8"/>
  </cols>
  <sheetData>
    <row r="1" customFormat="false" ht="43.5" hidden="false" customHeight="true" outlineLevel="0" collapsed="false">
      <c r="B1" s="24" t="s">
        <v>147</v>
      </c>
      <c r="C1" s="24"/>
    </row>
    <row r="3" customFormat="false" ht="27.75" hidden="false" customHeight="true" outlineLevel="0" collapsed="false">
      <c r="B3" s="57" t="s">
        <v>148</v>
      </c>
      <c r="C3" s="57"/>
    </row>
    <row r="4" customFormat="false" ht="43.5" hidden="false" customHeight="true" outlineLevel="0" collapsed="false">
      <c r="B4" s="58" t="s">
        <v>149</v>
      </c>
      <c r="C4" s="59" t="s">
        <v>150</v>
      </c>
    </row>
    <row r="5" customFormat="false" ht="43.5" hidden="false" customHeight="true" outlineLevel="0" collapsed="false">
      <c r="B5" s="60" t="s">
        <v>151</v>
      </c>
      <c r="C5" s="61" t="s">
        <v>152</v>
      </c>
    </row>
    <row r="6" customFormat="false" ht="43.5" hidden="false" customHeight="true" outlineLevel="0" collapsed="false">
      <c r="B6" s="58" t="s">
        <v>153</v>
      </c>
      <c r="C6" s="59" t="s">
        <v>154</v>
      </c>
    </row>
    <row r="7" customFormat="false" ht="43.5" hidden="false" customHeight="true" outlineLevel="0" collapsed="false">
      <c r="B7" s="60" t="s">
        <v>155</v>
      </c>
      <c r="C7" s="61" t="s">
        <v>156</v>
      </c>
    </row>
    <row r="8" customFormat="false" ht="27.75" hidden="false" customHeight="true" outlineLevel="0" collapsed="false">
      <c r="B8" s="57" t="s">
        <v>157</v>
      </c>
      <c r="C8" s="57"/>
    </row>
    <row r="9" customFormat="false" ht="43.5" hidden="false" customHeight="true" outlineLevel="0" collapsed="false">
      <c r="B9" s="60" t="s">
        <v>158</v>
      </c>
      <c r="C9" s="61" t="s">
        <v>159</v>
      </c>
    </row>
    <row r="10" customFormat="false" ht="43.5" hidden="false" customHeight="true" outlineLevel="0" collapsed="false">
      <c r="B10" s="58" t="s">
        <v>160</v>
      </c>
      <c r="C10" s="59" t="s">
        <v>161</v>
      </c>
    </row>
    <row r="11" customFormat="false" ht="43.5" hidden="false" customHeight="true" outlineLevel="0" collapsed="false">
      <c r="B11" s="60" t="s">
        <v>162</v>
      </c>
      <c r="C11" s="61" t="s">
        <v>163</v>
      </c>
    </row>
    <row r="12" customFormat="false" ht="43.5" hidden="false" customHeight="true" outlineLevel="0" collapsed="false">
      <c r="B12" s="58" t="s">
        <v>164</v>
      </c>
      <c r="C12" s="59" t="s">
        <v>165</v>
      </c>
    </row>
    <row r="13" customFormat="false" ht="27.75" hidden="false" customHeight="true" outlineLevel="0" collapsed="false">
      <c r="B13" s="57" t="s">
        <v>166</v>
      </c>
      <c r="C13" s="57"/>
    </row>
    <row r="14" customFormat="false" ht="43.5" hidden="false" customHeight="true" outlineLevel="0" collapsed="false">
      <c r="B14" s="58" t="s">
        <v>167</v>
      </c>
      <c r="C14" s="59" t="s">
        <v>168</v>
      </c>
    </row>
    <row r="15" customFormat="false" ht="43.5" hidden="false" customHeight="true" outlineLevel="0" collapsed="false">
      <c r="B15" s="60" t="s">
        <v>169</v>
      </c>
      <c r="C15" s="61" t="s">
        <v>170</v>
      </c>
    </row>
    <row r="16" customFormat="false" ht="43.5" hidden="false" customHeight="true" outlineLevel="0" collapsed="false">
      <c r="B16" s="58" t="s">
        <v>171</v>
      </c>
      <c r="C16" s="59" t="s">
        <v>172</v>
      </c>
    </row>
    <row r="17" customFormat="false" ht="43.5" hidden="false" customHeight="true" outlineLevel="0" collapsed="false">
      <c r="B17" s="60" t="s">
        <v>173</v>
      </c>
      <c r="C17" s="61" t="s">
        <v>174</v>
      </c>
    </row>
    <row r="18" customFormat="false" ht="43.5" hidden="false" customHeight="true" outlineLevel="0" collapsed="false">
      <c r="B18" s="58" t="s">
        <v>175</v>
      </c>
      <c r="C18" s="59" t="s">
        <v>176</v>
      </c>
    </row>
    <row r="19" customFormat="false" ht="43.5" hidden="false" customHeight="true" outlineLevel="0" collapsed="false">
      <c r="B19" s="60" t="s">
        <v>177</v>
      </c>
      <c r="C19" s="61" t="s">
        <v>178</v>
      </c>
    </row>
    <row r="20" customFormat="false" ht="43.5" hidden="false" customHeight="true" outlineLevel="0" collapsed="false">
      <c r="B20" s="58" t="s">
        <v>179</v>
      </c>
      <c r="C20" s="59" t="s">
        <v>180</v>
      </c>
    </row>
    <row r="21" customFormat="false" ht="43.5" hidden="false" customHeight="true" outlineLevel="0" collapsed="false">
      <c r="B21" s="60" t="s">
        <v>181</v>
      </c>
      <c r="C21" s="61" t="s">
        <v>182</v>
      </c>
    </row>
    <row r="22" customFormat="false" ht="27.75" hidden="false" customHeight="true" outlineLevel="0" collapsed="false">
      <c r="B22" s="57" t="s">
        <v>183</v>
      </c>
      <c r="C22" s="57"/>
    </row>
    <row r="23" customFormat="false" ht="43.5" hidden="false" customHeight="true" outlineLevel="0" collapsed="false">
      <c r="B23" s="60" t="s">
        <v>184</v>
      </c>
      <c r="C23" s="61" t="s">
        <v>185</v>
      </c>
    </row>
    <row r="24" customFormat="false" ht="43.5" hidden="false" customHeight="true" outlineLevel="0" collapsed="false">
      <c r="B24" s="58" t="s">
        <v>186</v>
      </c>
      <c r="C24" s="59" t="s">
        <v>187</v>
      </c>
    </row>
    <row r="25" customFormat="false" ht="43.5" hidden="false" customHeight="true" outlineLevel="0" collapsed="false">
      <c r="B25" s="60" t="s">
        <v>188</v>
      </c>
      <c r="C25" s="61" t="s">
        <v>189</v>
      </c>
    </row>
    <row r="26" customFormat="false" ht="43.5" hidden="false" customHeight="true" outlineLevel="0" collapsed="false">
      <c r="B26" s="58" t="s">
        <v>24</v>
      </c>
      <c r="C26" s="59" t="s">
        <v>190</v>
      </c>
    </row>
  </sheetData>
  <mergeCells count="5">
    <mergeCell ref="B1:C1"/>
    <mergeCell ref="B3:C3"/>
    <mergeCell ref="B8:C8"/>
    <mergeCell ref="B13:C13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2026-02-28T23:50:47Z</dcterms:created>
  <dc:creator>openpyxl</dc:creator>
  <dc:description/>
  <dc:language>en-US</dc:language>
  <cp:lastModifiedBy/>
  <dcterms:modified xsi:type="dcterms:W3CDTF">2026-02-28T23:50:47Z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